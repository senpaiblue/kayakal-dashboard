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105974\Downloads\ALL MINE WORK FIL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" i="1" l="1"/>
  <c r="C57" i="1"/>
  <c r="H56" i="1"/>
  <c r="G56" i="1"/>
  <c r="F56" i="1"/>
  <c r="C56" i="1"/>
  <c r="F55" i="1" s="1"/>
  <c r="H55" i="1"/>
  <c r="G55" i="1"/>
  <c r="C55" i="1"/>
  <c r="H54" i="1"/>
  <c r="G54" i="1"/>
  <c r="F54" i="1"/>
  <c r="C54" i="1"/>
  <c r="H53" i="1"/>
  <c r="G53" i="1"/>
  <c r="F53" i="1"/>
  <c r="C53" i="1"/>
  <c r="F52" i="1" s="1"/>
  <c r="H52" i="1"/>
  <c r="G52" i="1"/>
  <c r="C52" i="1"/>
  <c r="H51" i="1"/>
  <c r="G51" i="1"/>
  <c r="F51" i="1"/>
  <c r="C51" i="1"/>
  <c r="F50" i="1" s="1"/>
  <c r="H50" i="1"/>
  <c r="G50" i="1"/>
  <c r="C50" i="1"/>
  <c r="F49" i="1" s="1"/>
  <c r="H49" i="1"/>
  <c r="G49" i="1"/>
  <c r="C49" i="1"/>
  <c r="H48" i="1"/>
  <c r="G48" i="1"/>
  <c r="F48" i="1"/>
  <c r="C48" i="1"/>
  <c r="F47" i="1" s="1"/>
  <c r="H47" i="1"/>
  <c r="G47" i="1"/>
  <c r="C47" i="1"/>
  <c r="F46" i="1" s="1"/>
  <c r="H46" i="1"/>
  <c r="G46" i="1"/>
  <c r="C46" i="1"/>
  <c r="H45" i="1"/>
  <c r="G45" i="1"/>
  <c r="F45" i="1"/>
  <c r="C45" i="1"/>
  <c r="H44" i="1"/>
  <c r="C44" i="1"/>
  <c r="H43" i="1"/>
  <c r="G43" i="1"/>
  <c r="C43" i="1"/>
  <c r="F43" i="1" s="1"/>
  <c r="H42" i="1"/>
  <c r="G42" i="1"/>
  <c r="C42" i="1"/>
  <c r="F42" i="1" s="1"/>
  <c r="H41" i="1"/>
  <c r="G41" i="1"/>
  <c r="C41" i="1"/>
  <c r="F41" i="1" s="1"/>
  <c r="H40" i="1"/>
  <c r="G40" i="1"/>
  <c r="F40" i="1"/>
  <c r="C40" i="1"/>
  <c r="H39" i="1"/>
  <c r="G39" i="1"/>
  <c r="C39" i="1"/>
  <c r="F39" i="1" s="1"/>
  <c r="H38" i="1"/>
  <c r="G38" i="1"/>
  <c r="C38" i="1"/>
  <c r="F38" i="1" s="1"/>
  <c r="H37" i="1"/>
  <c r="G37" i="1"/>
  <c r="C37" i="1"/>
  <c r="F37" i="1" s="1"/>
  <c r="H36" i="1"/>
  <c r="G36" i="1"/>
  <c r="C36" i="1"/>
  <c r="F36" i="1" s="1"/>
  <c r="H35" i="1"/>
  <c r="G35" i="1"/>
  <c r="C35" i="1"/>
  <c r="F35" i="1" s="1"/>
  <c r="H34" i="1"/>
  <c r="G34" i="1"/>
  <c r="C34" i="1"/>
  <c r="F34" i="1" s="1"/>
  <c r="H33" i="1"/>
  <c r="G33" i="1"/>
  <c r="C33" i="1"/>
  <c r="F33" i="1" s="1"/>
  <c r="H32" i="1"/>
  <c r="G32" i="1"/>
  <c r="C32" i="1"/>
  <c r="F32" i="1" s="1"/>
  <c r="H31" i="1"/>
  <c r="G31" i="1"/>
  <c r="C31" i="1"/>
  <c r="F31" i="1" s="1"/>
  <c r="H30" i="1"/>
  <c r="G30" i="1"/>
  <c r="C30" i="1"/>
  <c r="F30" i="1" s="1"/>
  <c r="H29" i="1"/>
  <c r="G29" i="1"/>
  <c r="C29" i="1"/>
  <c r="F29" i="1" s="1"/>
  <c r="H28" i="1"/>
  <c r="G28" i="1"/>
  <c r="C28" i="1"/>
  <c r="F28" i="1" s="1"/>
  <c r="H27" i="1"/>
  <c r="G27" i="1"/>
  <c r="C27" i="1"/>
  <c r="F27" i="1" s="1"/>
  <c r="H26" i="1"/>
  <c r="G26" i="1"/>
  <c r="C26" i="1"/>
  <c r="F26" i="1" s="1"/>
  <c r="H25" i="1"/>
  <c r="G25" i="1"/>
  <c r="C25" i="1"/>
  <c r="F25" i="1" s="1"/>
  <c r="H24" i="1"/>
  <c r="G24" i="1"/>
  <c r="C24" i="1"/>
  <c r="F24" i="1" s="1"/>
  <c r="H23" i="1"/>
  <c r="G23" i="1"/>
  <c r="C23" i="1"/>
  <c r="F23" i="1" s="1"/>
  <c r="H22" i="1"/>
  <c r="G22" i="1"/>
  <c r="F22" i="1"/>
  <c r="C22" i="1"/>
  <c r="H21" i="1"/>
  <c r="G21" i="1"/>
  <c r="C21" i="1"/>
  <c r="F21" i="1" s="1"/>
  <c r="H20" i="1"/>
  <c r="G20" i="1"/>
  <c r="C20" i="1"/>
  <c r="F20" i="1" s="1"/>
  <c r="H19" i="1"/>
  <c r="G19" i="1"/>
  <c r="C19" i="1"/>
  <c r="F19" i="1" s="1"/>
  <c r="H18" i="1"/>
  <c r="G18" i="1"/>
  <c r="C18" i="1"/>
  <c r="F18" i="1" s="1"/>
  <c r="H17" i="1"/>
  <c r="G17" i="1"/>
  <c r="C17" i="1"/>
  <c r="F17" i="1" s="1"/>
  <c r="H16" i="1"/>
  <c r="G16" i="1"/>
  <c r="C16" i="1"/>
  <c r="F16" i="1" s="1"/>
  <c r="H15" i="1"/>
  <c r="G15" i="1"/>
  <c r="C15" i="1"/>
  <c r="F15" i="1" s="1"/>
  <c r="H14" i="1"/>
  <c r="G14" i="1"/>
  <c r="C14" i="1"/>
  <c r="F14" i="1" s="1"/>
  <c r="H13" i="1"/>
  <c r="G13" i="1"/>
  <c r="C13" i="1"/>
  <c r="F13" i="1" s="1"/>
  <c r="H12" i="1"/>
  <c r="G12" i="1"/>
  <c r="C12" i="1"/>
  <c r="F12" i="1" s="1"/>
  <c r="H11" i="1"/>
  <c r="G11" i="1"/>
  <c r="C11" i="1"/>
  <c r="F11" i="1" s="1"/>
  <c r="H10" i="1"/>
  <c r="G10" i="1"/>
  <c r="C10" i="1"/>
  <c r="F10" i="1" s="1"/>
  <c r="H9" i="1"/>
  <c r="G9" i="1"/>
  <c r="C9" i="1"/>
  <c r="F9" i="1" s="1"/>
  <c r="H8" i="1"/>
  <c r="G8" i="1"/>
  <c r="C8" i="1"/>
  <c r="F8" i="1" s="1"/>
  <c r="H7" i="1"/>
  <c r="G7" i="1"/>
  <c r="C7" i="1"/>
  <c r="F7" i="1" s="1"/>
  <c r="H6" i="1"/>
  <c r="G6" i="1"/>
  <c r="C6" i="1"/>
  <c r="F6" i="1" s="1"/>
  <c r="H5" i="1"/>
  <c r="G5" i="1"/>
  <c r="C5" i="1"/>
  <c r="F5" i="1" s="1"/>
  <c r="H4" i="1"/>
  <c r="G4" i="1"/>
  <c r="F4" i="1"/>
  <c r="C4" i="1"/>
  <c r="H3" i="1"/>
  <c r="G3" i="1"/>
  <c r="C3" i="1"/>
  <c r="F3" i="1" s="1"/>
  <c r="H2" i="1"/>
  <c r="G2" i="1"/>
  <c r="C2" i="1"/>
  <c r="C59" i="1" l="1"/>
  <c r="F2" i="1"/>
</calcChain>
</file>

<file path=xl/sharedStrings.xml><?xml version="1.0" encoding="utf-8"?>
<sst xmlns="http://schemas.openxmlformats.org/spreadsheetml/2006/main" count="70" uniqueCount="70">
  <si>
    <t>Total L07 &amp; Below Employee</t>
  </si>
  <si>
    <t>Kaizen Monthly Target</t>
  </si>
  <si>
    <t>KaizenYearly Target</t>
  </si>
  <si>
    <t>OPL/POKA YOKE Monthly Target</t>
  </si>
  <si>
    <t>OPL/POKA YOKE YearlyTarget</t>
  </si>
  <si>
    <t>SEED</t>
  </si>
  <si>
    <t>Finance and Accounts</t>
  </si>
  <si>
    <t>Safety</t>
  </si>
  <si>
    <t>IT &amp; Digitalisation</t>
  </si>
  <si>
    <t>Central Stores</t>
  </si>
  <si>
    <t>Commercial</t>
  </si>
  <si>
    <t>Civil</t>
  </si>
  <si>
    <t>COREX 1&amp;2</t>
  </si>
  <si>
    <t>CDQ</t>
  </si>
  <si>
    <t>Wire Rod Mill 1</t>
  </si>
  <si>
    <t>Energy Management</t>
  </si>
  <si>
    <t>Logistics</t>
  </si>
  <si>
    <t>Blast Furnace 1, Blast Furnace 2</t>
  </si>
  <si>
    <t>Direct Reduced Iron</t>
  </si>
  <si>
    <t>Refractories</t>
  </si>
  <si>
    <t>Lime Calcination Plant</t>
  </si>
  <si>
    <t>Customer Service Department</t>
  </si>
  <si>
    <t>Human Resources</t>
  </si>
  <si>
    <t>Production Planning &amp; Control(PPC)</t>
  </si>
  <si>
    <t>SMS-4</t>
  </si>
  <si>
    <t>Utilities</t>
  </si>
  <si>
    <t>Central Maintenance</t>
  </si>
  <si>
    <t>Environment Management</t>
  </si>
  <si>
    <t xml:space="preserve">Oxygen Plant </t>
  </si>
  <si>
    <t>Product Development &amp; Quality Control</t>
  </si>
  <si>
    <t>RMHS Upto 5MT</t>
  </si>
  <si>
    <t>RMHS Upto 10MT</t>
  </si>
  <si>
    <t>Central Repair Shop,ISHOP</t>
  </si>
  <si>
    <t>Sinter Plant II</t>
  </si>
  <si>
    <t>Pellet Plant II</t>
  </si>
  <si>
    <t>Steel Melting Shop II</t>
  </si>
  <si>
    <t>Hot Strip Mill II</t>
  </si>
  <si>
    <t>Cold Rolling Mill II</t>
  </si>
  <si>
    <t>Wire Rod Mill II</t>
  </si>
  <si>
    <t>Bar Mill II</t>
  </si>
  <si>
    <t>Sinter Plant I</t>
  </si>
  <si>
    <t>Beneficiation I</t>
  </si>
  <si>
    <t>Steel Melting Shop I</t>
  </si>
  <si>
    <t>Hot Strip Mill I</t>
  </si>
  <si>
    <t>Cold Rolling Mill I</t>
  </si>
  <si>
    <t>Bar Rod Mill I</t>
  </si>
  <si>
    <t>Sinter Plant III</t>
  </si>
  <si>
    <t>Pellet Plant III</t>
  </si>
  <si>
    <t>Steel Melting Shop III</t>
  </si>
  <si>
    <t>Hot Strip Mill III</t>
  </si>
  <si>
    <t>Blast Furnace III</t>
  </si>
  <si>
    <t>Coke Ovens III</t>
  </si>
  <si>
    <t>Sinter Plant IV</t>
  </si>
  <si>
    <t>Blast Furnace IV</t>
  </si>
  <si>
    <t>Coke Ovens IV</t>
  </si>
  <si>
    <t>Sinter Plant V</t>
  </si>
  <si>
    <t>Blast Furnace V</t>
  </si>
  <si>
    <t>Coke Ovens V</t>
  </si>
  <si>
    <t>Beneficiation II</t>
  </si>
  <si>
    <t>Pellet Plant I</t>
  </si>
  <si>
    <t>M1-Tunga</t>
  </si>
  <si>
    <t>M2-Bhadra</t>
  </si>
  <si>
    <t>M3-Devadari</t>
  </si>
  <si>
    <t>M4-Nandi</t>
  </si>
  <si>
    <t>M5-Rama</t>
  </si>
  <si>
    <t>M6-Dharma</t>
  </si>
  <si>
    <t>M7-Narayana</t>
  </si>
  <si>
    <t>M8-Ubbalagundi</t>
  </si>
  <si>
    <t>M9-Bhomman</t>
  </si>
  <si>
    <t>S1-Mines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</si>
</sst>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2C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" fontId="1" fillId="0" borderId="0" xfId="0" applyNumberFormat="1" applyFont="1"/>
    <xf numFmtId="0" fontId="1" fillId="0" borderId="0" xfId="0" applyFont="1"/>
    <xf numFmtId="0" fontId="2" fillId="4" borderId="4" xfId="0" applyFont="1" applyFill="1" applyBorder="1" applyAlignment="1">
      <alignment horizontal="center" vertical="center"/>
    </xf>
    <xf numFmtId="1" fontId="1" fillId="0" borderId="0" xfId="0" applyNumberFormat="1" applyFont="1" applyBorder="1"/>
    <xf numFmtId="0" fontId="0" fillId="0" borderId="0" xfId="0" applyBorder="1"/>
    <xf numFmtId="0" fontId="1" fillId="0" borderId="0" xfId="0" applyFont="1" applyBorder="1"/>
    <xf numFmtId="1" fontId="0" fillId="0" borderId="0" xfId="0" applyNumberFormat="1"/>
    <xf numFmtId="1" fontId="1" fillId="0" borderId="0" xfId="0" applyNumberFormat="1" applyFont="1" applyFill="1" applyBorder="1"/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67"/>
  <sheetViews>
    <sheetView tabSelected="1" topLeftCell="D1" zoomScale="90" zoomScaleNormal="90" workbookViewId="0">
      <selection activeCell="K6" sqref="K6:O52"/>
    </sheetView>
  </sheetViews>
  <sheetFormatPr defaultRowHeight="14.4" x14ac:dyDescent="0.3"/>
  <cols>
    <col min="1" max="1" width="0" hidden="1" customWidth="1"/>
    <col min="2" max="3" width="8.88671875" hidden="1" customWidth="1"/>
    <col min="4" max="4" width="29.77734375" style="8" bestFit="1" customWidth="1"/>
    <col min="5" max="5" width="29.77734375" style="8" customWidth="1"/>
    <col min="6" max="6" width="17.44140625" customWidth="1"/>
    <col min="7" max="7" width="19.109375" customWidth="1"/>
    <col min="8" max="8" width="19.6640625" customWidth="1"/>
    <col min="9" max="9" width="17.6640625" customWidth="1"/>
  </cols>
  <sheetData>
    <row r="1" spans="2:60" ht="73.2" customHeight="1" thickBot="1" x14ac:dyDescent="0.35">
      <c r="B1" s="1"/>
      <c r="C1" s="1"/>
      <c r="D1" s="1"/>
      <c r="E1" s="2" t="s">
        <v>0</v>
      </c>
      <c r="F1" s="3" t="s">
        <v>1</v>
      </c>
      <c r="G1" s="4" t="s">
        <v>2</v>
      </c>
      <c r="H1" s="3" t="s">
        <v>3</v>
      </c>
      <c r="I1" s="3" t="s">
        <v>4</v>
      </c>
      <c r="J1" s="1"/>
      <c r="K1" s="1"/>
      <c r="L1" s="1"/>
      <c r="M1" s="1"/>
      <c r="N1" s="1"/>
      <c r="O1" s="5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2:60" ht="18" thickBot="1" x14ac:dyDescent="0.35">
      <c r="B2" s="1">
        <v>13</v>
      </c>
      <c r="C2">
        <f t="shared" ref="C2:C33" si="0">2*B2</f>
        <v>26</v>
      </c>
      <c r="D2" s="6" t="s">
        <v>40</v>
      </c>
      <c r="E2" s="1">
        <v>13</v>
      </c>
      <c r="F2" s="7">
        <f t="shared" ref="F2:F43" si="1">C2/12</f>
        <v>2.1666666666666665</v>
      </c>
      <c r="G2" s="8">
        <f t="shared" ref="G2:G43" si="2">B2*2</f>
        <v>26</v>
      </c>
      <c r="H2" s="7">
        <f>I2/12</f>
        <v>1.0833333333333333</v>
      </c>
      <c r="I2" s="1">
        <v>13</v>
      </c>
    </row>
    <row r="3" spans="2:60" ht="18" thickBot="1" x14ac:dyDescent="0.35">
      <c r="B3" s="1">
        <v>55</v>
      </c>
      <c r="C3">
        <f t="shared" si="0"/>
        <v>110</v>
      </c>
      <c r="D3" s="6" t="s">
        <v>41</v>
      </c>
      <c r="E3" s="1">
        <v>55</v>
      </c>
      <c r="F3" s="7">
        <f t="shared" si="1"/>
        <v>9.1666666666666661</v>
      </c>
      <c r="G3" s="8">
        <f t="shared" si="2"/>
        <v>110</v>
      </c>
      <c r="H3" s="7">
        <f t="shared" ref="H3:H56" si="3">I3/12</f>
        <v>4.583333333333333</v>
      </c>
      <c r="I3" s="1">
        <v>55</v>
      </c>
    </row>
    <row r="4" spans="2:60" ht="18" thickBot="1" x14ac:dyDescent="0.35">
      <c r="B4" s="1">
        <v>37</v>
      </c>
      <c r="C4">
        <f t="shared" si="0"/>
        <v>74</v>
      </c>
      <c r="D4" s="6" t="s">
        <v>59</v>
      </c>
      <c r="E4" s="1">
        <v>37</v>
      </c>
      <c r="F4" s="7">
        <f t="shared" si="1"/>
        <v>6.166666666666667</v>
      </c>
      <c r="G4" s="8">
        <f t="shared" si="2"/>
        <v>74</v>
      </c>
      <c r="H4" s="7">
        <f t="shared" si="3"/>
        <v>3.0833333333333335</v>
      </c>
      <c r="I4" s="1">
        <v>37</v>
      </c>
    </row>
    <row r="5" spans="2:60" ht="18" thickBot="1" x14ac:dyDescent="0.35">
      <c r="B5" s="1">
        <v>21</v>
      </c>
      <c r="C5">
        <f t="shared" si="0"/>
        <v>42</v>
      </c>
      <c r="D5" s="6" t="s">
        <v>33</v>
      </c>
      <c r="E5" s="1">
        <v>21</v>
      </c>
      <c r="F5" s="7">
        <f t="shared" si="1"/>
        <v>3.5</v>
      </c>
      <c r="G5" s="8">
        <f t="shared" si="2"/>
        <v>42</v>
      </c>
      <c r="H5" s="7">
        <f t="shared" si="3"/>
        <v>1.75</v>
      </c>
      <c r="I5" s="1">
        <v>21</v>
      </c>
    </row>
    <row r="6" spans="2:60" ht="18" thickBot="1" x14ac:dyDescent="0.35">
      <c r="B6" s="1">
        <v>23</v>
      </c>
      <c r="C6">
        <f t="shared" si="0"/>
        <v>46</v>
      </c>
      <c r="D6" s="6" t="s">
        <v>46</v>
      </c>
      <c r="E6" s="1">
        <v>23</v>
      </c>
      <c r="F6" s="7">
        <f t="shared" si="1"/>
        <v>3.8333333333333335</v>
      </c>
      <c r="G6" s="8">
        <f t="shared" si="2"/>
        <v>46</v>
      </c>
      <c r="H6" s="7">
        <f t="shared" si="3"/>
        <v>1.9166666666666667</v>
      </c>
      <c r="I6" s="1">
        <v>23</v>
      </c>
    </row>
    <row r="7" spans="2:60" ht="18" thickBot="1" x14ac:dyDescent="0.35">
      <c r="B7" s="1">
        <v>13</v>
      </c>
      <c r="C7">
        <f t="shared" si="0"/>
        <v>26</v>
      </c>
      <c r="D7" s="6" t="s">
        <v>52</v>
      </c>
      <c r="E7" s="1">
        <v>13</v>
      </c>
      <c r="F7" s="7">
        <f t="shared" si="1"/>
        <v>2.1666666666666665</v>
      </c>
      <c r="G7" s="8">
        <f t="shared" si="2"/>
        <v>26</v>
      </c>
      <c r="H7" s="7">
        <f t="shared" si="3"/>
        <v>1.0833333333333333</v>
      </c>
      <c r="I7" s="1">
        <v>13</v>
      </c>
    </row>
    <row r="8" spans="2:60" ht="18" thickBot="1" x14ac:dyDescent="0.35">
      <c r="B8" s="1">
        <v>22</v>
      </c>
      <c r="C8">
        <f t="shared" si="0"/>
        <v>44</v>
      </c>
      <c r="D8" s="6" t="s">
        <v>55</v>
      </c>
      <c r="E8" s="1">
        <v>22</v>
      </c>
      <c r="F8" s="7">
        <f t="shared" si="1"/>
        <v>3.6666666666666665</v>
      </c>
      <c r="G8" s="8">
        <f t="shared" si="2"/>
        <v>44</v>
      </c>
      <c r="H8" s="7">
        <f t="shared" si="3"/>
        <v>1.8333333333333333</v>
      </c>
      <c r="I8" s="1">
        <v>22</v>
      </c>
    </row>
    <row r="9" spans="2:60" ht="18" thickBot="1" x14ac:dyDescent="0.35">
      <c r="B9" s="1">
        <v>32</v>
      </c>
      <c r="C9">
        <f t="shared" si="0"/>
        <v>64</v>
      </c>
      <c r="D9" s="6" t="s">
        <v>34</v>
      </c>
      <c r="E9" s="1">
        <v>32</v>
      </c>
      <c r="F9" s="7">
        <f t="shared" si="1"/>
        <v>5.333333333333333</v>
      </c>
      <c r="G9" s="8">
        <f t="shared" si="2"/>
        <v>64</v>
      </c>
      <c r="H9" s="7">
        <f t="shared" si="3"/>
        <v>2.6666666666666665</v>
      </c>
      <c r="I9" s="1">
        <v>32</v>
      </c>
    </row>
    <row r="10" spans="2:60" ht="18" thickBot="1" x14ac:dyDescent="0.35">
      <c r="B10" s="1">
        <v>53</v>
      </c>
      <c r="C10">
        <f t="shared" si="0"/>
        <v>106</v>
      </c>
      <c r="D10" s="6" t="s">
        <v>47</v>
      </c>
      <c r="E10" s="1">
        <v>53</v>
      </c>
      <c r="F10" s="7">
        <f t="shared" si="1"/>
        <v>8.8333333333333339</v>
      </c>
      <c r="G10" s="8">
        <f t="shared" si="2"/>
        <v>106</v>
      </c>
      <c r="H10" s="7">
        <f t="shared" si="3"/>
        <v>4.416666666666667</v>
      </c>
      <c r="I10" s="1">
        <v>53</v>
      </c>
    </row>
    <row r="11" spans="2:60" ht="18" thickBot="1" x14ac:dyDescent="0.35">
      <c r="B11" s="1">
        <v>47</v>
      </c>
      <c r="C11">
        <f t="shared" si="0"/>
        <v>94</v>
      </c>
      <c r="D11" s="6" t="s">
        <v>58</v>
      </c>
      <c r="E11" s="1">
        <v>47</v>
      </c>
      <c r="F11" s="7">
        <f t="shared" si="1"/>
        <v>7.833333333333333</v>
      </c>
      <c r="G11" s="8">
        <f t="shared" si="2"/>
        <v>94</v>
      </c>
      <c r="H11" s="7">
        <f t="shared" si="3"/>
        <v>3.9166666666666665</v>
      </c>
      <c r="I11" s="1">
        <v>47</v>
      </c>
    </row>
    <row r="12" spans="2:60" ht="18" thickBot="1" x14ac:dyDescent="0.35">
      <c r="B12" s="1">
        <v>129</v>
      </c>
      <c r="C12">
        <f t="shared" si="0"/>
        <v>258</v>
      </c>
      <c r="D12" s="6" t="s">
        <v>30</v>
      </c>
      <c r="E12" s="1">
        <v>129</v>
      </c>
      <c r="F12" s="7">
        <f t="shared" si="1"/>
        <v>21.5</v>
      </c>
      <c r="G12" s="8">
        <f t="shared" si="2"/>
        <v>258</v>
      </c>
      <c r="H12" s="7">
        <f t="shared" si="3"/>
        <v>10.75</v>
      </c>
      <c r="I12" s="1">
        <v>129</v>
      </c>
    </row>
    <row r="13" spans="2:60" ht="18" thickBot="1" x14ac:dyDescent="0.35">
      <c r="B13" s="5">
        <v>129</v>
      </c>
      <c r="C13">
        <f t="shared" si="0"/>
        <v>258</v>
      </c>
      <c r="D13" s="9" t="s">
        <v>31</v>
      </c>
      <c r="E13" s="5">
        <v>129</v>
      </c>
      <c r="F13" s="7">
        <f t="shared" si="1"/>
        <v>21.5</v>
      </c>
      <c r="G13" s="8">
        <f t="shared" si="2"/>
        <v>258</v>
      </c>
      <c r="H13" s="7">
        <f t="shared" si="3"/>
        <v>10.75</v>
      </c>
      <c r="I13" s="5">
        <v>129</v>
      </c>
    </row>
    <row r="14" spans="2:60" ht="18" thickBot="1" x14ac:dyDescent="0.35">
      <c r="B14" s="1">
        <v>68</v>
      </c>
      <c r="C14">
        <f t="shared" si="0"/>
        <v>136</v>
      </c>
      <c r="D14" s="6" t="s">
        <v>20</v>
      </c>
      <c r="E14" s="1">
        <v>68</v>
      </c>
      <c r="F14" s="7">
        <f t="shared" si="1"/>
        <v>11.333333333333334</v>
      </c>
      <c r="G14" s="8">
        <f t="shared" si="2"/>
        <v>136</v>
      </c>
      <c r="H14" s="7">
        <f t="shared" si="3"/>
        <v>5.666666666666667</v>
      </c>
      <c r="I14" s="1">
        <v>68</v>
      </c>
    </row>
    <row r="15" spans="2:60" ht="18" thickBot="1" x14ac:dyDescent="0.35">
      <c r="B15" s="1">
        <v>259</v>
      </c>
      <c r="C15">
        <f t="shared" si="0"/>
        <v>518</v>
      </c>
      <c r="D15" s="6" t="s">
        <v>42</v>
      </c>
      <c r="E15" s="1">
        <v>259</v>
      </c>
      <c r="F15" s="7">
        <f t="shared" si="1"/>
        <v>43.166666666666664</v>
      </c>
      <c r="G15" s="8">
        <f t="shared" si="2"/>
        <v>518</v>
      </c>
      <c r="H15" s="7">
        <f t="shared" si="3"/>
        <v>21.583333333333332</v>
      </c>
      <c r="I15" s="1">
        <v>259</v>
      </c>
    </row>
    <row r="16" spans="2:60" ht="18" thickBot="1" x14ac:dyDescent="0.35">
      <c r="B16" s="1">
        <v>346</v>
      </c>
      <c r="C16">
        <f t="shared" si="0"/>
        <v>692</v>
      </c>
      <c r="D16" s="6" t="s">
        <v>35</v>
      </c>
      <c r="E16" s="1">
        <v>346</v>
      </c>
      <c r="F16" s="7">
        <f t="shared" si="1"/>
        <v>57.666666666666664</v>
      </c>
      <c r="G16" s="8">
        <f t="shared" si="2"/>
        <v>692</v>
      </c>
      <c r="H16" s="7">
        <f t="shared" si="3"/>
        <v>28.833333333333332</v>
      </c>
      <c r="I16" s="1">
        <v>346</v>
      </c>
    </row>
    <row r="17" spans="2:9" ht="18" thickBot="1" x14ac:dyDescent="0.35">
      <c r="B17" s="1">
        <v>154</v>
      </c>
      <c r="C17">
        <f t="shared" si="0"/>
        <v>308</v>
      </c>
      <c r="D17" s="6" t="s">
        <v>48</v>
      </c>
      <c r="E17" s="1">
        <v>154</v>
      </c>
      <c r="F17" s="7">
        <f t="shared" si="1"/>
        <v>25.666666666666668</v>
      </c>
      <c r="G17" s="8">
        <f t="shared" si="2"/>
        <v>308</v>
      </c>
      <c r="H17" s="7">
        <f t="shared" si="3"/>
        <v>12.833333333333334</v>
      </c>
      <c r="I17" s="1">
        <v>154</v>
      </c>
    </row>
    <row r="18" spans="2:9" ht="18" thickBot="1" x14ac:dyDescent="0.35">
      <c r="B18" s="1">
        <v>223</v>
      </c>
      <c r="C18">
        <f t="shared" si="0"/>
        <v>446</v>
      </c>
      <c r="D18" s="6" t="s">
        <v>24</v>
      </c>
      <c r="E18" s="1">
        <v>223</v>
      </c>
      <c r="F18" s="7">
        <f t="shared" si="1"/>
        <v>37.166666666666664</v>
      </c>
      <c r="G18" s="8">
        <f t="shared" si="2"/>
        <v>446</v>
      </c>
      <c r="H18" s="7">
        <f t="shared" si="3"/>
        <v>18.583333333333332</v>
      </c>
      <c r="I18" s="1">
        <v>223</v>
      </c>
    </row>
    <row r="19" spans="2:9" ht="18" thickBot="1" x14ac:dyDescent="0.35">
      <c r="B19" s="1">
        <v>29</v>
      </c>
      <c r="C19">
        <f t="shared" si="0"/>
        <v>58</v>
      </c>
      <c r="D19" s="6" t="s">
        <v>18</v>
      </c>
      <c r="E19" s="1">
        <v>29</v>
      </c>
      <c r="F19" s="7">
        <f t="shared" si="1"/>
        <v>4.833333333333333</v>
      </c>
      <c r="G19" s="8">
        <f t="shared" si="2"/>
        <v>58</v>
      </c>
      <c r="H19" s="7">
        <f t="shared" si="3"/>
        <v>2.4166666666666665</v>
      </c>
      <c r="I19" s="1">
        <v>29</v>
      </c>
    </row>
    <row r="20" spans="2:9" ht="18" thickBot="1" x14ac:dyDescent="0.35">
      <c r="B20" s="1">
        <v>38</v>
      </c>
      <c r="C20">
        <f t="shared" si="0"/>
        <v>76</v>
      </c>
      <c r="D20" s="6" t="s">
        <v>19</v>
      </c>
      <c r="E20" s="1">
        <v>38</v>
      </c>
      <c r="F20" s="7">
        <f t="shared" si="1"/>
        <v>6.333333333333333</v>
      </c>
      <c r="G20" s="8">
        <f t="shared" si="2"/>
        <v>76</v>
      </c>
      <c r="H20" s="7">
        <f t="shared" si="3"/>
        <v>3.1666666666666665</v>
      </c>
      <c r="I20" s="1">
        <v>38</v>
      </c>
    </row>
    <row r="21" spans="2:9" ht="18" thickBot="1" x14ac:dyDescent="0.35">
      <c r="B21" s="1">
        <v>154</v>
      </c>
      <c r="C21">
        <f t="shared" si="0"/>
        <v>308</v>
      </c>
      <c r="D21" s="6" t="s">
        <v>26</v>
      </c>
      <c r="E21" s="1">
        <v>154</v>
      </c>
      <c r="F21" s="7">
        <f t="shared" si="1"/>
        <v>25.666666666666668</v>
      </c>
      <c r="G21" s="8">
        <f t="shared" si="2"/>
        <v>308</v>
      </c>
      <c r="H21" s="7">
        <f t="shared" si="3"/>
        <v>12.833333333333334</v>
      </c>
      <c r="I21" s="1">
        <v>154</v>
      </c>
    </row>
    <row r="22" spans="2:9" ht="18" thickBot="1" x14ac:dyDescent="0.35">
      <c r="B22" s="1">
        <v>57</v>
      </c>
      <c r="C22">
        <f t="shared" si="0"/>
        <v>114</v>
      </c>
      <c r="D22" s="6" t="s">
        <v>25</v>
      </c>
      <c r="E22" s="1">
        <v>57</v>
      </c>
      <c r="F22" s="7">
        <f t="shared" si="1"/>
        <v>9.5</v>
      </c>
      <c r="G22" s="8">
        <f t="shared" si="2"/>
        <v>114</v>
      </c>
      <c r="H22" s="7">
        <f t="shared" si="3"/>
        <v>4.75</v>
      </c>
      <c r="I22" s="1">
        <v>57</v>
      </c>
    </row>
    <row r="23" spans="2:9" ht="18" thickBot="1" x14ac:dyDescent="0.35">
      <c r="B23" s="1">
        <v>83</v>
      </c>
      <c r="C23">
        <f t="shared" si="0"/>
        <v>166</v>
      </c>
      <c r="D23" s="6" t="s">
        <v>15</v>
      </c>
      <c r="E23" s="1">
        <v>83</v>
      </c>
      <c r="F23" s="7">
        <f t="shared" si="1"/>
        <v>13.833333333333334</v>
      </c>
      <c r="G23" s="8">
        <f t="shared" si="2"/>
        <v>166</v>
      </c>
      <c r="H23" s="7">
        <f t="shared" si="3"/>
        <v>6.916666666666667</v>
      </c>
      <c r="I23" s="1">
        <v>83</v>
      </c>
    </row>
    <row r="24" spans="2:9" ht="18" thickBot="1" x14ac:dyDescent="0.35">
      <c r="B24" s="1">
        <v>4</v>
      </c>
      <c r="C24">
        <f t="shared" si="0"/>
        <v>8</v>
      </c>
      <c r="D24" s="6" t="s">
        <v>27</v>
      </c>
      <c r="E24" s="1">
        <v>4</v>
      </c>
      <c r="F24" s="7">
        <f t="shared" si="1"/>
        <v>0.66666666666666663</v>
      </c>
      <c r="G24" s="8">
        <f t="shared" si="2"/>
        <v>8</v>
      </c>
      <c r="H24" s="7">
        <f t="shared" si="3"/>
        <v>0.33333333333333331</v>
      </c>
      <c r="I24" s="1">
        <v>4</v>
      </c>
    </row>
    <row r="25" spans="2:9" ht="18" thickBot="1" x14ac:dyDescent="0.35">
      <c r="B25" s="1">
        <v>5</v>
      </c>
      <c r="C25">
        <f t="shared" si="0"/>
        <v>10</v>
      </c>
      <c r="D25" s="6" t="s">
        <v>28</v>
      </c>
      <c r="E25" s="1">
        <v>5</v>
      </c>
      <c r="F25" s="7">
        <f t="shared" si="1"/>
        <v>0.83333333333333337</v>
      </c>
      <c r="G25" s="8">
        <f t="shared" si="2"/>
        <v>10</v>
      </c>
      <c r="H25" s="7">
        <f t="shared" si="3"/>
        <v>0.41666666666666669</v>
      </c>
      <c r="I25" s="1">
        <v>5</v>
      </c>
    </row>
    <row r="26" spans="2:9" ht="18" thickBot="1" x14ac:dyDescent="0.35">
      <c r="B26" s="1">
        <v>37</v>
      </c>
      <c r="C26">
        <f t="shared" si="0"/>
        <v>74</v>
      </c>
      <c r="D26" s="6" t="s">
        <v>32</v>
      </c>
      <c r="E26" s="1">
        <v>37</v>
      </c>
      <c r="F26" s="7">
        <f t="shared" si="1"/>
        <v>6.166666666666667</v>
      </c>
      <c r="G26" s="8">
        <f t="shared" si="2"/>
        <v>74</v>
      </c>
      <c r="H26" s="7">
        <f t="shared" si="3"/>
        <v>3.0833333333333335</v>
      </c>
      <c r="I26" s="1">
        <v>37</v>
      </c>
    </row>
    <row r="27" spans="2:9" ht="18" thickBot="1" x14ac:dyDescent="0.35">
      <c r="B27" s="1">
        <v>0</v>
      </c>
      <c r="C27">
        <f t="shared" si="0"/>
        <v>0</v>
      </c>
      <c r="D27" s="6" t="s">
        <v>5</v>
      </c>
      <c r="E27" s="1">
        <v>0</v>
      </c>
      <c r="F27" s="7">
        <f t="shared" si="1"/>
        <v>0</v>
      </c>
      <c r="G27" s="8">
        <f t="shared" si="2"/>
        <v>0</v>
      </c>
      <c r="H27" s="7">
        <f t="shared" si="3"/>
        <v>0</v>
      </c>
      <c r="I27" s="1">
        <v>0</v>
      </c>
    </row>
    <row r="28" spans="2:9" ht="18" thickBot="1" x14ac:dyDescent="0.35">
      <c r="B28" s="1">
        <v>10</v>
      </c>
      <c r="C28">
        <f t="shared" si="0"/>
        <v>20</v>
      </c>
      <c r="D28" s="6" t="s">
        <v>22</v>
      </c>
      <c r="E28" s="1">
        <v>10</v>
      </c>
      <c r="F28" s="7">
        <f t="shared" si="1"/>
        <v>1.6666666666666667</v>
      </c>
      <c r="G28" s="8">
        <f t="shared" si="2"/>
        <v>20</v>
      </c>
      <c r="H28" s="7">
        <f t="shared" si="3"/>
        <v>0.83333333333333337</v>
      </c>
      <c r="I28" s="1">
        <v>10</v>
      </c>
    </row>
    <row r="29" spans="2:9" ht="18" thickBot="1" x14ac:dyDescent="0.35">
      <c r="B29" s="1">
        <v>14</v>
      </c>
      <c r="C29">
        <f t="shared" si="0"/>
        <v>28</v>
      </c>
      <c r="D29" s="6" t="s">
        <v>6</v>
      </c>
      <c r="E29" s="1">
        <v>14</v>
      </c>
      <c r="F29" s="7">
        <f t="shared" si="1"/>
        <v>2.3333333333333335</v>
      </c>
      <c r="G29" s="8">
        <f t="shared" si="2"/>
        <v>28</v>
      </c>
      <c r="H29" s="7">
        <f t="shared" si="3"/>
        <v>1.1666666666666667</v>
      </c>
      <c r="I29" s="1">
        <v>14</v>
      </c>
    </row>
    <row r="30" spans="2:9" ht="18" thickBot="1" x14ac:dyDescent="0.35">
      <c r="B30" s="1">
        <v>8</v>
      </c>
      <c r="C30">
        <f t="shared" si="0"/>
        <v>16</v>
      </c>
      <c r="D30" s="6" t="s">
        <v>7</v>
      </c>
      <c r="E30" s="1">
        <v>8</v>
      </c>
      <c r="F30" s="7">
        <f t="shared" si="1"/>
        <v>1.3333333333333333</v>
      </c>
      <c r="G30" s="8">
        <f t="shared" si="2"/>
        <v>16</v>
      </c>
      <c r="H30" s="7">
        <f t="shared" si="3"/>
        <v>0.66666666666666663</v>
      </c>
      <c r="I30" s="1">
        <v>8</v>
      </c>
    </row>
    <row r="31" spans="2:9" ht="18" thickBot="1" x14ac:dyDescent="0.35">
      <c r="B31" s="1">
        <v>8</v>
      </c>
      <c r="C31">
        <f t="shared" si="0"/>
        <v>16</v>
      </c>
      <c r="D31" s="6" t="s">
        <v>8</v>
      </c>
      <c r="E31" s="1">
        <v>8</v>
      </c>
      <c r="F31" s="7">
        <f t="shared" si="1"/>
        <v>1.3333333333333333</v>
      </c>
      <c r="G31" s="8">
        <f t="shared" si="2"/>
        <v>16</v>
      </c>
      <c r="H31" s="7">
        <f t="shared" si="3"/>
        <v>0.66666666666666663</v>
      </c>
      <c r="I31" s="1">
        <v>8</v>
      </c>
    </row>
    <row r="32" spans="2:9" ht="18" thickBot="1" x14ac:dyDescent="0.35">
      <c r="B32" s="1">
        <v>49</v>
      </c>
      <c r="C32">
        <f t="shared" si="0"/>
        <v>98</v>
      </c>
      <c r="D32" s="6" t="s">
        <v>9</v>
      </c>
      <c r="E32" s="1">
        <v>49</v>
      </c>
      <c r="F32" s="7">
        <f t="shared" si="1"/>
        <v>8.1666666666666661</v>
      </c>
      <c r="G32" s="8">
        <f t="shared" si="2"/>
        <v>98</v>
      </c>
      <c r="H32" s="7">
        <f t="shared" si="3"/>
        <v>4.083333333333333</v>
      </c>
      <c r="I32" s="1">
        <v>49</v>
      </c>
    </row>
    <row r="33" spans="2:9" ht="18" thickBot="1" x14ac:dyDescent="0.35">
      <c r="B33" s="1">
        <v>17</v>
      </c>
      <c r="C33">
        <f t="shared" si="0"/>
        <v>34</v>
      </c>
      <c r="D33" s="6" t="s">
        <v>10</v>
      </c>
      <c r="E33" s="1">
        <v>17</v>
      </c>
      <c r="F33" s="7">
        <f t="shared" si="1"/>
        <v>2.8333333333333335</v>
      </c>
      <c r="G33" s="8">
        <f t="shared" si="2"/>
        <v>34</v>
      </c>
      <c r="H33" s="7">
        <f t="shared" si="3"/>
        <v>1.4166666666666667</v>
      </c>
      <c r="I33" s="1">
        <v>17</v>
      </c>
    </row>
    <row r="34" spans="2:9" ht="18" thickBot="1" x14ac:dyDescent="0.35">
      <c r="B34" s="1">
        <v>45</v>
      </c>
      <c r="C34">
        <f t="shared" ref="C34:C65" si="4">2*B34</f>
        <v>90</v>
      </c>
      <c r="D34" s="6" t="s">
        <v>11</v>
      </c>
      <c r="E34" s="1">
        <v>45</v>
      </c>
      <c r="F34" s="7">
        <f t="shared" si="1"/>
        <v>7.5</v>
      </c>
      <c r="G34" s="8">
        <f t="shared" si="2"/>
        <v>90</v>
      </c>
      <c r="H34" s="7">
        <f t="shared" si="3"/>
        <v>3.75</v>
      </c>
      <c r="I34" s="1">
        <v>45</v>
      </c>
    </row>
    <row r="35" spans="2:9" ht="18" thickBot="1" x14ac:dyDescent="0.35">
      <c r="B35" s="1">
        <v>71</v>
      </c>
      <c r="C35">
        <f t="shared" si="4"/>
        <v>142</v>
      </c>
      <c r="D35" s="6" t="s">
        <v>43</v>
      </c>
      <c r="E35" s="1">
        <v>71</v>
      </c>
      <c r="F35" s="7">
        <f t="shared" si="1"/>
        <v>11.833333333333334</v>
      </c>
      <c r="G35" s="8">
        <f t="shared" si="2"/>
        <v>142</v>
      </c>
      <c r="H35" s="7">
        <f t="shared" si="3"/>
        <v>5.916666666666667</v>
      </c>
      <c r="I35" s="1">
        <v>71</v>
      </c>
    </row>
    <row r="36" spans="2:9" ht="18" thickBot="1" x14ac:dyDescent="0.35">
      <c r="B36" s="1">
        <v>84</v>
      </c>
      <c r="C36">
        <f t="shared" si="4"/>
        <v>168</v>
      </c>
      <c r="D36" s="6" t="s">
        <v>36</v>
      </c>
      <c r="E36" s="1">
        <v>84</v>
      </c>
      <c r="F36" s="7">
        <f t="shared" si="1"/>
        <v>14</v>
      </c>
      <c r="G36" s="8">
        <f t="shared" si="2"/>
        <v>168</v>
      </c>
      <c r="H36" s="7">
        <f t="shared" si="3"/>
        <v>7</v>
      </c>
      <c r="I36" s="1">
        <v>84</v>
      </c>
    </row>
    <row r="37" spans="2:9" ht="18" thickBot="1" x14ac:dyDescent="0.35">
      <c r="B37" s="1">
        <v>72</v>
      </c>
      <c r="C37">
        <f t="shared" si="4"/>
        <v>144</v>
      </c>
      <c r="D37" s="6" t="s">
        <v>49</v>
      </c>
      <c r="E37" s="1">
        <v>72</v>
      </c>
      <c r="F37" s="7">
        <f t="shared" si="1"/>
        <v>12</v>
      </c>
      <c r="G37" s="8">
        <f t="shared" si="2"/>
        <v>144</v>
      </c>
      <c r="H37" s="7">
        <f t="shared" si="3"/>
        <v>6</v>
      </c>
      <c r="I37" s="1">
        <v>72</v>
      </c>
    </row>
    <row r="38" spans="2:9" ht="18" thickBot="1" x14ac:dyDescent="0.35">
      <c r="B38" s="1">
        <v>161</v>
      </c>
      <c r="C38">
        <f t="shared" si="4"/>
        <v>322</v>
      </c>
      <c r="D38" s="6" t="s">
        <v>44</v>
      </c>
      <c r="E38" s="1">
        <v>161</v>
      </c>
      <c r="F38" s="7">
        <f t="shared" si="1"/>
        <v>26.833333333333332</v>
      </c>
      <c r="G38" s="8">
        <f t="shared" si="2"/>
        <v>322</v>
      </c>
      <c r="H38" s="7">
        <f t="shared" si="3"/>
        <v>13.416666666666666</v>
      </c>
      <c r="I38" s="1">
        <v>161</v>
      </c>
    </row>
    <row r="39" spans="2:9" ht="18" thickBot="1" x14ac:dyDescent="0.35">
      <c r="B39" s="1">
        <v>162</v>
      </c>
      <c r="C39">
        <f t="shared" si="4"/>
        <v>324</v>
      </c>
      <c r="D39" s="6" t="s">
        <v>37</v>
      </c>
      <c r="E39" s="1">
        <v>162</v>
      </c>
      <c r="F39" s="7">
        <f t="shared" si="1"/>
        <v>27</v>
      </c>
      <c r="G39" s="8">
        <f t="shared" si="2"/>
        <v>324</v>
      </c>
      <c r="H39" s="7">
        <f t="shared" si="3"/>
        <v>13.5</v>
      </c>
      <c r="I39" s="1">
        <v>162</v>
      </c>
    </row>
    <row r="40" spans="2:9" ht="18" thickBot="1" x14ac:dyDescent="0.35">
      <c r="B40" s="1">
        <v>32</v>
      </c>
      <c r="C40">
        <f t="shared" si="4"/>
        <v>64</v>
      </c>
      <c r="D40" s="6" t="s">
        <v>14</v>
      </c>
      <c r="E40" s="1">
        <v>32</v>
      </c>
      <c r="F40" s="7">
        <f t="shared" si="1"/>
        <v>5.333333333333333</v>
      </c>
      <c r="G40" s="8">
        <f t="shared" si="2"/>
        <v>64</v>
      </c>
      <c r="H40" s="7">
        <f t="shared" si="3"/>
        <v>2.6666666666666665</v>
      </c>
      <c r="I40" s="1">
        <v>32</v>
      </c>
    </row>
    <row r="41" spans="2:9" ht="18" thickBot="1" x14ac:dyDescent="0.35">
      <c r="B41" s="1">
        <v>58</v>
      </c>
      <c r="C41">
        <f t="shared" si="4"/>
        <v>116</v>
      </c>
      <c r="D41" s="6" t="s">
        <v>38</v>
      </c>
      <c r="E41" s="1">
        <v>58</v>
      </c>
      <c r="F41" s="7">
        <f t="shared" si="1"/>
        <v>9.6666666666666661</v>
      </c>
      <c r="G41" s="8">
        <f t="shared" si="2"/>
        <v>116</v>
      </c>
      <c r="H41" s="7">
        <f t="shared" si="3"/>
        <v>4.833333333333333</v>
      </c>
      <c r="I41" s="1">
        <v>58</v>
      </c>
    </row>
    <row r="42" spans="2:9" ht="18" thickBot="1" x14ac:dyDescent="0.35">
      <c r="B42" s="1">
        <v>32</v>
      </c>
      <c r="C42">
        <f t="shared" si="4"/>
        <v>64</v>
      </c>
      <c r="D42" s="6" t="s">
        <v>45</v>
      </c>
      <c r="E42" s="1">
        <v>32</v>
      </c>
      <c r="F42" s="7">
        <f t="shared" si="1"/>
        <v>5.333333333333333</v>
      </c>
      <c r="G42" s="8">
        <f t="shared" si="2"/>
        <v>64</v>
      </c>
      <c r="H42" s="7">
        <f t="shared" si="3"/>
        <v>2.6666666666666665</v>
      </c>
      <c r="I42" s="1">
        <v>32</v>
      </c>
    </row>
    <row r="43" spans="2:9" ht="18" thickBot="1" x14ac:dyDescent="0.35">
      <c r="B43" s="1">
        <v>58</v>
      </c>
      <c r="C43">
        <f t="shared" si="4"/>
        <v>116</v>
      </c>
      <c r="D43" s="6" t="s">
        <v>39</v>
      </c>
      <c r="E43" s="1">
        <v>58</v>
      </c>
      <c r="F43" s="7">
        <f t="shared" si="1"/>
        <v>9.6666666666666661</v>
      </c>
      <c r="G43" s="8">
        <f t="shared" si="2"/>
        <v>116</v>
      </c>
      <c r="H43" s="7">
        <f t="shared" si="3"/>
        <v>4.833333333333333</v>
      </c>
      <c r="I43" s="1">
        <v>58</v>
      </c>
    </row>
    <row r="44" spans="2:9" ht="18" thickBot="1" x14ac:dyDescent="0.35">
      <c r="B44" s="1">
        <v>33</v>
      </c>
      <c r="C44">
        <f t="shared" si="4"/>
        <v>66</v>
      </c>
      <c r="D44" s="6" t="s">
        <v>17</v>
      </c>
      <c r="E44" s="1">
        <v>65</v>
      </c>
      <c r="F44" s="10">
        <v>12</v>
      </c>
      <c r="G44" s="8">
        <v>130</v>
      </c>
      <c r="H44" s="7">
        <f t="shared" si="3"/>
        <v>5.416666666666667</v>
      </c>
      <c r="I44" s="1">
        <v>65</v>
      </c>
    </row>
    <row r="45" spans="2:9" ht="18" thickBot="1" x14ac:dyDescent="0.35">
      <c r="B45" s="1">
        <v>32</v>
      </c>
      <c r="C45">
        <f t="shared" si="4"/>
        <v>64</v>
      </c>
      <c r="D45" s="9" t="s">
        <v>50</v>
      </c>
      <c r="E45" s="5">
        <v>70</v>
      </c>
      <c r="F45" s="7">
        <f t="shared" ref="F45:F56" si="5">C46/12</f>
        <v>11.666666666666666</v>
      </c>
      <c r="G45" s="8">
        <f t="shared" ref="G45:G56" si="6">B46*2</f>
        <v>140</v>
      </c>
      <c r="H45" s="7">
        <f t="shared" si="3"/>
        <v>5.833333333333333</v>
      </c>
      <c r="I45" s="5">
        <v>70</v>
      </c>
    </row>
    <row r="46" spans="2:9" ht="18" thickBot="1" x14ac:dyDescent="0.35">
      <c r="B46" s="5">
        <v>70</v>
      </c>
      <c r="C46">
        <f t="shared" si="4"/>
        <v>140</v>
      </c>
      <c r="D46" s="6" t="s">
        <v>53</v>
      </c>
      <c r="E46" s="1">
        <v>59</v>
      </c>
      <c r="F46" s="7">
        <f t="shared" si="5"/>
        <v>9.8333333333333339</v>
      </c>
      <c r="G46" s="8">
        <f t="shared" si="6"/>
        <v>118</v>
      </c>
      <c r="H46" s="7">
        <f t="shared" si="3"/>
        <v>4.916666666666667</v>
      </c>
      <c r="I46" s="1">
        <v>59</v>
      </c>
    </row>
    <row r="47" spans="2:9" ht="18" thickBot="1" x14ac:dyDescent="0.35">
      <c r="B47" s="1">
        <v>59</v>
      </c>
      <c r="C47">
        <f t="shared" si="4"/>
        <v>118</v>
      </c>
      <c r="D47" s="6" t="s">
        <v>56</v>
      </c>
      <c r="E47" s="1">
        <v>94</v>
      </c>
      <c r="F47" s="7">
        <f t="shared" si="5"/>
        <v>15.666666666666666</v>
      </c>
      <c r="G47" s="8">
        <f t="shared" si="6"/>
        <v>188</v>
      </c>
      <c r="H47" s="7">
        <f t="shared" si="3"/>
        <v>7.833333333333333</v>
      </c>
      <c r="I47" s="1">
        <v>94</v>
      </c>
    </row>
    <row r="48" spans="2:9" ht="18" thickBot="1" x14ac:dyDescent="0.35">
      <c r="B48" s="1">
        <v>94</v>
      </c>
      <c r="C48">
        <f t="shared" si="4"/>
        <v>188</v>
      </c>
      <c r="D48" s="6" t="s">
        <v>12</v>
      </c>
      <c r="E48" s="1">
        <v>80</v>
      </c>
      <c r="F48" s="7">
        <f t="shared" si="5"/>
        <v>13.333333333333334</v>
      </c>
      <c r="G48" s="8">
        <f t="shared" si="6"/>
        <v>160</v>
      </c>
      <c r="H48" s="7">
        <f t="shared" si="3"/>
        <v>6.666666666666667</v>
      </c>
      <c r="I48" s="1">
        <v>80</v>
      </c>
    </row>
    <row r="49" spans="2:9" ht="18" thickBot="1" x14ac:dyDescent="0.35">
      <c r="B49" s="1">
        <v>80</v>
      </c>
      <c r="C49">
        <f t="shared" si="4"/>
        <v>160</v>
      </c>
      <c r="D49" s="6" t="s">
        <v>29</v>
      </c>
      <c r="E49" s="1">
        <v>3</v>
      </c>
      <c r="F49" s="7">
        <f t="shared" si="5"/>
        <v>0.5</v>
      </c>
      <c r="G49" s="8">
        <f t="shared" si="6"/>
        <v>6</v>
      </c>
      <c r="H49" s="7">
        <f t="shared" si="3"/>
        <v>0.25</v>
      </c>
      <c r="I49" s="1">
        <v>3</v>
      </c>
    </row>
    <row r="50" spans="2:9" ht="18" thickBot="1" x14ac:dyDescent="0.35">
      <c r="B50" s="1">
        <v>3</v>
      </c>
      <c r="C50" s="11">
        <f t="shared" si="4"/>
        <v>6</v>
      </c>
      <c r="D50" s="6" t="s">
        <v>23</v>
      </c>
      <c r="E50" s="1">
        <v>17</v>
      </c>
      <c r="F50" s="10">
        <f t="shared" si="5"/>
        <v>2.8333333333333335</v>
      </c>
      <c r="G50" s="8">
        <f t="shared" si="6"/>
        <v>34</v>
      </c>
      <c r="H50" s="7">
        <f t="shared" si="3"/>
        <v>1.4166666666666667</v>
      </c>
      <c r="I50" s="1">
        <v>17</v>
      </c>
    </row>
    <row r="51" spans="2:9" ht="18" thickBot="1" x14ac:dyDescent="0.35">
      <c r="B51" s="1">
        <v>17</v>
      </c>
      <c r="C51">
        <f t="shared" si="4"/>
        <v>34</v>
      </c>
      <c r="D51" s="6" t="s">
        <v>21</v>
      </c>
      <c r="E51" s="1">
        <v>6</v>
      </c>
      <c r="F51" s="7">
        <f t="shared" si="5"/>
        <v>1</v>
      </c>
      <c r="G51" s="8">
        <f t="shared" si="6"/>
        <v>12</v>
      </c>
      <c r="H51" s="7">
        <f t="shared" si="3"/>
        <v>0.5</v>
      </c>
      <c r="I51" s="1">
        <v>6</v>
      </c>
    </row>
    <row r="52" spans="2:9" ht="18" thickBot="1" x14ac:dyDescent="0.35">
      <c r="B52" s="1">
        <v>6</v>
      </c>
      <c r="C52">
        <f t="shared" si="4"/>
        <v>12</v>
      </c>
      <c r="D52" s="6" t="s">
        <v>16</v>
      </c>
      <c r="E52" s="1">
        <v>284</v>
      </c>
      <c r="F52" s="7">
        <f t="shared" si="5"/>
        <v>47.333333333333336</v>
      </c>
      <c r="G52" s="8">
        <f t="shared" si="6"/>
        <v>568</v>
      </c>
      <c r="H52" s="7">
        <f t="shared" si="3"/>
        <v>23.666666666666668</v>
      </c>
      <c r="I52" s="1">
        <v>284</v>
      </c>
    </row>
    <row r="53" spans="2:9" ht="18" thickBot="1" x14ac:dyDescent="0.35">
      <c r="B53" s="1">
        <v>284</v>
      </c>
      <c r="C53">
        <f t="shared" si="4"/>
        <v>568</v>
      </c>
      <c r="D53" s="6" t="s">
        <v>51</v>
      </c>
      <c r="E53" s="1">
        <v>30</v>
      </c>
      <c r="F53" s="7">
        <f t="shared" si="5"/>
        <v>5</v>
      </c>
      <c r="G53" s="8">
        <f t="shared" si="6"/>
        <v>60</v>
      </c>
      <c r="H53" s="7">
        <f t="shared" si="3"/>
        <v>2.5</v>
      </c>
      <c r="I53" s="1">
        <v>30</v>
      </c>
    </row>
    <row r="54" spans="2:9" ht="18" thickBot="1" x14ac:dyDescent="0.35">
      <c r="B54" s="1">
        <v>30</v>
      </c>
      <c r="C54">
        <f t="shared" si="4"/>
        <v>60</v>
      </c>
      <c r="D54" s="6" t="s">
        <v>54</v>
      </c>
      <c r="E54" s="1">
        <v>30</v>
      </c>
      <c r="F54" s="7">
        <f t="shared" si="5"/>
        <v>5</v>
      </c>
      <c r="G54" s="8">
        <f t="shared" si="6"/>
        <v>60</v>
      </c>
      <c r="H54" s="7">
        <f t="shared" si="3"/>
        <v>2.5</v>
      </c>
      <c r="I54" s="1">
        <v>30</v>
      </c>
    </row>
    <row r="55" spans="2:9" ht="18" thickBot="1" x14ac:dyDescent="0.35">
      <c r="B55" s="1">
        <v>30</v>
      </c>
      <c r="C55">
        <f t="shared" si="4"/>
        <v>60</v>
      </c>
      <c r="D55" s="6" t="s">
        <v>57</v>
      </c>
      <c r="E55" s="1">
        <v>38</v>
      </c>
      <c r="F55" s="7">
        <f t="shared" si="5"/>
        <v>6.333333333333333</v>
      </c>
      <c r="G55" s="8">
        <f t="shared" si="6"/>
        <v>76</v>
      </c>
      <c r="H55" s="7">
        <f t="shared" si="3"/>
        <v>3.1666666666666665</v>
      </c>
      <c r="I55" s="1">
        <v>38</v>
      </c>
    </row>
    <row r="56" spans="2:9" ht="17.399999999999999" x14ac:dyDescent="0.3">
      <c r="B56" s="1">
        <v>38</v>
      </c>
      <c r="C56">
        <f t="shared" si="4"/>
        <v>76</v>
      </c>
      <c r="D56" s="6" t="s">
        <v>13</v>
      </c>
      <c r="E56" s="1">
        <v>13</v>
      </c>
      <c r="F56" s="7">
        <f t="shared" si="5"/>
        <v>2.1666666666666665</v>
      </c>
      <c r="G56" s="8">
        <f t="shared" si="6"/>
        <v>26</v>
      </c>
      <c r="H56" s="7">
        <f t="shared" si="3"/>
        <v>1.0833333333333333</v>
      </c>
      <c r="I56" s="1">
        <v>13</v>
      </c>
    </row>
    <row r="57" spans="2:9" ht="17.399999999999999" x14ac:dyDescent="0.3">
      <c r="B57" s="1">
        <v>13</v>
      </c>
      <c r="C57">
        <f t="shared" si="4"/>
        <v>26</v>
      </c>
      <c r="D57" s="12" t="s">
        <v>60</v>
      </c>
      <c r="F57" s="7">
        <v>4</v>
      </c>
      <c r="G57" s="8">
        <v>48</v>
      </c>
      <c r="H57" s="7">
        <v>3</v>
      </c>
      <c r="I57" s="15">
        <v>36</v>
      </c>
    </row>
    <row r="58" spans="2:9" ht="17.399999999999999" x14ac:dyDescent="0.3">
      <c r="B58" s="1">
        <v>211</v>
      </c>
      <c r="C58">
        <f t="shared" si="4"/>
        <v>422</v>
      </c>
      <c r="D58" s="8" t="s">
        <v>61</v>
      </c>
      <c r="F58">
        <v>4</v>
      </c>
      <c r="G58">
        <v>48</v>
      </c>
      <c r="H58">
        <v>3</v>
      </c>
      <c r="I58" s="15">
        <v>36</v>
      </c>
    </row>
    <row r="59" spans="2:9" ht="17.399999999999999" x14ac:dyDescent="0.3">
      <c r="C59">
        <f>SUM(C2:C58)</f>
        <v>7824</v>
      </c>
      <c r="D59" s="8" t="s">
        <v>62</v>
      </c>
      <c r="F59">
        <v>4</v>
      </c>
      <c r="G59">
        <v>48</v>
      </c>
      <c r="H59">
        <v>2</v>
      </c>
      <c r="I59" s="15">
        <v>24</v>
      </c>
    </row>
    <row r="60" spans="2:9" ht="17.399999999999999" x14ac:dyDescent="0.3">
      <c r="D60" s="8" t="s">
        <v>63</v>
      </c>
      <c r="F60">
        <v>4</v>
      </c>
      <c r="G60" s="8">
        <v>48</v>
      </c>
      <c r="H60" s="14">
        <v>2</v>
      </c>
      <c r="I60" s="15">
        <v>24</v>
      </c>
    </row>
    <row r="61" spans="2:9" ht="17.399999999999999" x14ac:dyDescent="0.3">
      <c r="D61" s="8" t="s">
        <v>64</v>
      </c>
      <c r="F61">
        <v>3</v>
      </c>
      <c r="G61" s="8">
        <v>36</v>
      </c>
      <c r="H61" s="14">
        <v>1</v>
      </c>
      <c r="I61" s="15">
        <v>12</v>
      </c>
    </row>
    <row r="62" spans="2:9" ht="17.399999999999999" x14ac:dyDescent="0.3">
      <c r="D62" s="8" t="s">
        <v>65</v>
      </c>
      <c r="F62">
        <v>3</v>
      </c>
      <c r="G62" s="8">
        <v>36</v>
      </c>
      <c r="H62" s="14">
        <v>1</v>
      </c>
      <c r="I62" s="15">
        <v>12</v>
      </c>
    </row>
    <row r="63" spans="2:9" ht="17.399999999999999" x14ac:dyDescent="0.3">
      <c r="D63" s="8" t="s">
        <v>66</v>
      </c>
      <c r="F63">
        <v>3</v>
      </c>
      <c r="G63" s="8">
        <v>36</v>
      </c>
      <c r="H63" s="14">
        <v>1</v>
      </c>
      <c r="I63" s="15">
        <v>12</v>
      </c>
    </row>
    <row r="64" spans="2:9" ht="17.399999999999999" x14ac:dyDescent="0.3">
      <c r="D64" s="8" t="s">
        <v>67</v>
      </c>
      <c r="F64">
        <v>3</v>
      </c>
      <c r="G64" s="8">
        <v>36</v>
      </c>
      <c r="H64" s="14">
        <v>1</v>
      </c>
      <c r="I64" s="15">
        <v>12</v>
      </c>
    </row>
    <row r="65" spans="4:9" ht="17.399999999999999" x14ac:dyDescent="0.3">
      <c r="D65" s="8" t="s">
        <v>68</v>
      </c>
      <c r="F65">
        <v>3</v>
      </c>
      <c r="G65" s="8">
        <v>36</v>
      </c>
      <c r="H65" s="14">
        <v>2</v>
      </c>
      <c r="I65" s="15">
        <v>24</v>
      </c>
    </row>
    <row r="66" spans="4:9" ht="17.399999999999999" x14ac:dyDescent="0.3">
      <c r="D66" s="8" t="s">
        <v>69</v>
      </c>
      <c r="F66">
        <v>4</v>
      </c>
      <c r="G66" s="8">
        <v>48</v>
      </c>
      <c r="H66" s="14">
        <v>2</v>
      </c>
      <c r="I66" s="15">
        <v>24</v>
      </c>
    </row>
    <row r="67" spans="4:9" x14ac:dyDescent="0.3">
      <c r="F67" s="1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Yadav</dc:creator>
  <cp:lastModifiedBy>Pankaj Yadav</cp:lastModifiedBy>
  <dcterms:created xsi:type="dcterms:W3CDTF">2026-05-29T08:21:06Z</dcterms:created>
  <dcterms:modified xsi:type="dcterms:W3CDTF">2026-06-01T06:24:32Z</dcterms:modified>
</cp:coreProperties>
</file>