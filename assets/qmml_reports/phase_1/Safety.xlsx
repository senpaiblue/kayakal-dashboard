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mc:Choice>
  </mc:AlternateContent>
  <bookViews>
    <workbookView xWindow="0" yWindow="0" windowWidth="28800" windowHeight="123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sheet'!$A$4:$I$31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5" i="3" l="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E7"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7"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7"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3" authorId="0" shapeId="0">
      <text>
        <r>
          <rPr>
            <b/>
            <sz val="9"/>
            <color indexed="81"/>
            <rFont val="Tahoma"/>
            <family val="2"/>
          </rPr>
          <t>Rehana Sultana:</t>
        </r>
        <r>
          <rPr>
            <sz val="9"/>
            <color indexed="81"/>
            <rFont val="Tahoma"/>
            <family val="2"/>
          </rPr>
          <t xml:space="preserve">
Within VJNR </t>
        </r>
      </text>
    </comment>
    <comment ref="F13" authorId="0" shapeId="0">
      <text>
        <r>
          <rPr>
            <b/>
            <sz val="9"/>
            <color indexed="81"/>
            <rFont val="Tahoma"/>
            <family val="2"/>
          </rPr>
          <t>Rehana Sultana:</t>
        </r>
        <r>
          <rPr>
            <sz val="9"/>
            <color indexed="81"/>
            <rFont val="Tahoma"/>
            <family val="2"/>
          </rPr>
          <t xml:space="preserve">
Within VJNR, DOLVI, </t>
        </r>
      </text>
    </comment>
    <comment ref="G13" authorId="0" shapeId="0">
      <text>
        <r>
          <rPr>
            <b/>
            <sz val="9"/>
            <color indexed="81"/>
            <rFont val="Tahoma"/>
            <family val="2"/>
          </rPr>
          <t>Rehana Sultana:</t>
        </r>
        <r>
          <rPr>
            <sz val="9"/>
            <color indexed="81"/>
            <rFont val="Tahoma"/>
            <family val="2"/>
          </rPr>
          <t xml:space="preserve">
Competitor pan India TATA Steel, Arcelar Mittal, Hundai, MM</t>
        </r>
      </text>
    </comment>
    <comment ref="H13" authorId="0" shapeId="0">
      <text>
        <r>
          <rPr>
            <b/>
            <sz val="9"/>
            <color indexed="81"/>
            <rFont val="Tahoma"/>
            <family val="2"/>
          </rPr>
          <t>Rehana Sultana:</t>
        </r>
        <r>
          <rPr>
            <sz val="9"/>
            <color indexed="81"/>
            <rFont val="Tahoma"/>
            <family val="2"/>
          </rPr>
          <t xml:space="preserve">
POSCO, JFE</t>
        </r>
      </text>
    </comment>
    <comment ref="G27" authorId="0" shapeId="0">
      <text>
        <r>
          <rPr>
            <b/>
            <sz val="9"/>
            <color indexed="81"/>
            <rFont val="Tahoma"/>
            <family val="2"/>
          </rPr>
          <t>Rehana Sultana:</t>
        </r>
        <r>
          <rPr>
            <sz val="9"/>
            <color indexed="81"/>
            <rFont val="Tahoma"/>
            <family val="2"/>
          </rPr>
          <t xml:space="preserve">
Eg TATA, Arcellar Mittal, Hundai</t>
        </r>
      </text>
    </comment>
    <comment ref="H27"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<sst xmlns="http://schemas.openxmlformats.org/spreadsheetml/2006/main" count="460" uniqueCount="320">
  <si>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</si>
  <si>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</si>
  <si>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</si>
  <si>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</si>
  <si>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</si>
  <si>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</si>
  <si>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</si>
  <si>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</si>
  <si>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</si>
  <si>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</si>
  <si>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</si>
  <si>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</si>
  <si>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</si>
  <si>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</si>
  <si>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</si>
  <si>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</si>
  <si>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</si>
  <si>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</si>
  <si>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</si>
  <si>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</si>
  <si>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</si>
  <si>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</si>
  <si>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</si>
  <si>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</si>
  <si>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</si>
  <si>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</si>
  <si>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</si>
  <si>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</si>
  <si>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</si>
  <si>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</si>
  <si>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</si>
  <si>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</si>
  <si>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</si>
  <si>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</si>
  <si>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</si>
  <si>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</si>
  <si>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</si>
  <si>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</si>
  <si>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</si>
  <si>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</si>
  <si>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</si>
  <si>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</si>
  <si>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</si>
  <si>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</si>
  <si>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</si>
  <si>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</si>
  <si>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</si>
  <si>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</si>
  <si>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</si>
  <si>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</si>
  <si>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</si>
  <si>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</si>
  <si>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</si>
  <si>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</si>
  <si>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</si>
  <si>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</si>
  <si>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</si>
  <si>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</si>
  <si>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</si>
  <si>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</si>
  <si>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</si>
  <si>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</si>
  <si>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</si>
  <si>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</si>
  <si>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</si>
  <si>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</si>
  <si>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</si>
  <si>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</si>
  <si>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</si>
  <si>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</si>
  <si>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</si>
  <si>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</si>
  <si>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</si>
  <si>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</si>
  <si>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</si>
  <si>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</si>
  <si>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</si>
  <si>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</si>
  <si>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</si>
  <si>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</si>
  <si>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</si>
  <si>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</si>
  <si>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</si>
  <si>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</si>
  <si>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</si>
  <si>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</si>
  <si>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</si>
  <si>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</si>
  <si>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</si>
  <si>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</si>
  <si>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</si>
  <si>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</si>
  <si>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</si>
  <si>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</si>
  <si>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</si>
  <si>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</si>
  <si>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</si>
  <si>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</si>
  <si>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</si>
  <si>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</si>
  <si>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</si>
  <si>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</si>
  <si>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</si>
  <si>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</si>
  <si>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</si>
  <si>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</si>
  <si>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</si>
  <si>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</si>
  <si>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</si>
  <si>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</si>
  <si>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</si>
  <si>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</si>
  <si>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</si>
  <si>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</si>
  <si>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</si>
  <si>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</si>
  <si>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</si>
  <si>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</si>
  <si>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</si>
  <si>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</si>
  <si>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</si>
  <si>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</si>
  <si>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</si>
  <si>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</si>
  <si>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</si>
  <si>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</si>
  <si>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</si>
  <si>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</si>
  <si>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</si>
  <si>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</si>
  <si>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</si>
  <si>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</si>
  <si>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</si>
  <si>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</si>
  <si>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</si>
  <si>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</si>
  <si>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</si>
  <si>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</si>
  <si>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</si>
  <si>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</si>
  <si>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</si>
  <si>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</si>
  <si>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</si>
  <si>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</si>
  <si>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</si>
  <si>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</si>
  <si>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</si>
  <si>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</si>
  <si>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</si>
  <si>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</si>
  <si>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</si>
  <si>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</si>
  <si>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</si>
  <si>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</si>
  <si>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</si>
  <si>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</si>
  <si>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</si>
  <si>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</si>
  <si>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</si>
  <si>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</si>
  <si>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</si>
  <si>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</si>
  <si>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</si>
  <si>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</si>
  <si>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</si>
  <si>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</si>
  <si>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</si>
  <si>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</si>
  <si>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</si>
  <si>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</si>
  <si>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</si>
  <si>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</si>
  <si>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</si>
  <si>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</si>
  <si>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</si>
  <si>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</si>
  <si>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</si>
  <si>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</si>
  <si>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</si>
  <si>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</si>
  <si>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</si>
  <si>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</si>
  <si>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</si>
  <si>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</si>
  <si>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</si>
  <si>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</si>
  <si>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</si>
  <si>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</si>
  <si>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</si>
  <si>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</si>
  <si>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</si>
  <si>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</si>
  <si>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</si>
  <si>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</si>
  <si>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</si>
  <si>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</si>
  <si>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</si>
  <si>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</si>
  <si>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</si>
  <si>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</si>
  <si>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</si>
  <si>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</si>
  <si>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</si>
  <si>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</si>
  <si>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</si>
  <si>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</si>
  <si>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</si>
  <si>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</si>
  <si>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</si>
  <si>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</si>
  <si>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</si>
  <si>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</si>
  <si>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</si>
  <si>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</si>
  <si>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</si>
  <si>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</si>
  <si>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</si>
  <si>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</si>
  <si>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</si>
  <si>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</si>
  <si>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</si>
  <si>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</si>
  <si>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</si>
  <si>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</si>
  <si>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</si>
  <si>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</si>
  <si>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</si>
  <si>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</si>
  <si>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</si>
  <si>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</si>
  <si>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</si>
  <si>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</si>
  <si>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</si>
  <si>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</si>
  <si>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</si>
  <si>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</si>
  <si>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</si>
  <si>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</si>
  <si>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</si>
  <si>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</si>
  <si>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</si>
  <si>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</si>
  <si>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</si>
  <si>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</si>
  <si>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</si>
  <si>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</si>
  <si>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</si>
  <si>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</si>
  <si>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</si>
  <si>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</si>
  <si>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</si>
  <si>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</si>
  <si>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</si>
  <si>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</si>
  <si>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</si>
  <si>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</si>
  <si>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</si>
  <si>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</si>
  <si>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</si>
  <si>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</si>
  <si>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</si>
  <si>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</si>
  <si>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</si>
  <si>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</si>
  <si>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</si>
  <si>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</si>
  <si>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</si>
  <si>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</si>
  <si>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</si>
  <si>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</si>
  <si>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</si>
  <si>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</si>
  <si>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</si>
  <si>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</si>
  <si>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</si>
  <si>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</si>
  <si>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</si>
  <si>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</si>
  <si>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</si>
  <si>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</si>
  <si>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</si>
  <si>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</si>
  <si>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</si>
  <si>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</si>
  <si>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</si>
  <si>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</si>
  <si>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</si>
  <si>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</si>
  <si>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</si>
  <si>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</si>
  <si>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</si>
  <si>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</si>
  <si>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</si>
  <si>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</si>
  <si>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</si>
  <si>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</si>
  <si>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</si>
  <si>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</si>
  <si>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</si>
  <si>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</si>
  <si>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</si>
  <si>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</si>
  <si>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Quality Management System Maturity Level</t>
  </si>
  <si>
    <t>MR-QMML-07</t>
  </si>
  <si>
    <t>Issue/Rev-1/7</t>
  </si>
  <si>
    <t>Rev Date: 08/12/2025</t>
  </si>
  <si>
    <t>Department:S &amp; FS</t>
  </si>
  <si>
    <t>Section:S &amp;FS</t>
  </si>
  <si>
    <t>Auditee:Mr Chetak, Mr, John Peter, Mr Jaffer Sadiq, Mr Jaffer Ali, Mr Ashok</t>
  </si>
  <si>
    <t>Auditor:Ms Rehana Sultana</t>
  </si>
  <si>
    <t>Assessment Summary</t>
  </si>
  <si>
    <t>S N</t>
  </si>
  <si>
    <t>Evalauation Criteria</t>
  </si>
  <si>
    <t>Specific Observations</t>
  </si>
  <si>
    <t>General Observations</t>
  </si>
  <si>
    <t>Assessment Taken up</t>
  </si>
  <si>
    <t>Assessment Could not be completed De to Lack of Understanding</t>
  </si>
  <si>
    <t>Assessment Not taken up due to no Preparation</t>
  </si>
  <si>
    <t>1. ICS around 14 requirments are available for ICS iindex
2. Factory inspector is exteranl customer need to comply all the requirments, they are being monitored. 
3.ASK Agency Operator was able to tell Vision statement and relate his work to companies vision statement.
4. KPI  Benchmarking done at the international level by DNV , JSAP 15std impleemntation, 3rd party score available
5. 2 Skills have identified for multiskilling 10% acheived evidenced records
6. DNC is carrying out traiinig for trainers and improvement action plan is in palce, Evidenced certiifcate of Mr Prashanth N SME on confined Space.
7. DICs and DSCs are used for review of Safety perfromance, where there is formation of CFTs and Carry out continous improvements
8. PSSR and MOC are followed for change manageemtn, MOC evidenced for Feb'26
9. Safety Experience centre has been setup for the KPI improvements
10. Rsik Assessment available
11. No NC in IA
12.one External NC before two years
13. Using Bow tie analysis for their issues.
14. Safety kaizens are booked as part of Department
15. safety Theme is decided based on major causes.1. Slip trip and fall,, 2. Hand Inury, 3. Falling objects</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</si>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</sst>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FF00"/>
        <bgColor indexed="64"/>
      </patternFill>
    </fill>
  </fills>
  <borders count="68">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4">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1" fillId="0" borderId="43" xfId="0" applyFont="1" applyFill="1" applyBorder="1" applyAlignment="1">
      <alignment horizontal="left" vertical="center" wrapText="1"/>
    </xf>
    <xf numFmtId="0" fontId="0" fillId="0" borderId="43" xfId="0" applyBorder="1" applyAlignment="1">
      <alignment horizontal="center" vertical="center"/>
    </xf>
    <xf numFmtId="0" fontId="6" fillId="5" borderId="43" xfId="0" applyFont="1" applyFill="1" applyBorder="1" applyAlignment="1">
      <alignment horizontal="center" vertical="center"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Fill="1" applyBorder="1" applyAlignment="1">
      <alignment horizontal="center" vertical="center"/>
    </xf>
    <xf numFmtId="0" fontId="4" fillId="0" borderId="43" xfId="0" applyFont="1" applyFill="1" applyBorder="1" applyAlignment="1">
      <alignment vertical="center" wrapText="1"/>
    </xf>
    <xf numFmtId="0" fontId="0" fillId="0" borderId="43" xfId="0" applyBorder="1" applyAlignment="1">
      <alignment vertical="center"/>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0" fillId="6" borderId="43" xfId="0" applyFill="1" applyBorder="1" applyAlignment="1">
      <alignment horizontal="left" vertical="center" wrapText="1"/>
    </xf>
    <xf numFmtId="0" fontId="4" fillId="6" borderId="43" xfId="0" applyFont="1" applyFill="1" applyBorder="1" applyAlignment="1">
      <alignment horizontal="left" vertical="center" wrapText="1"/>
    </xf>
    <xf numFmtId="0" fontId="1" fillId="0" borderId="48" xfId="0" applyFont="1" applyBorder="1" applyAlignment="1">
      <alignment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0" xfId="0" applyAlignment="1">
      <alignment horizontal="center"/>
    </xf>
    <xf numFmtId="0" fontId="1" fillId="0" borderId="24" xfId="0" applyFont="1" applyBorder="1" applyAlignment="1">
      <alignment horizontal="left"/>
    </xf>
    <xf numFmtId="0" fontId="1" fillId="0" borderId="26" xfId="0" applyFont="1" applyBorder="1" applyAlignment="1">
      <alignment horizontal="left"/>
    </xf>
    <xf numFmtId="0" fontId="1" fillId="0" borderId="3" xfId="0" applyFont="1" applyBorder="1" applyAlignment="1">
      <alignment horizontal="left"/>
    </xf>
    <xf numFmtId="0" fontId="1" fillId="0" borderId="5"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61" xfId="0" applyFont="1" applyBorder="1" applyAlignment="1">
      <alignment horizontal="left" vertical="center"/>
    </xf>
    <xf numFmtId="0" fontId="1" fillId="0" borderId="35"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24" xfId="0" applyFont="1" applyBorder="1" applyAlignment="1">
      <alignment horizontal="left" wrapText="1"/>
    </xf>
    <xf numFmtId="0" fontId="1" fillId="0" borderId="25" xfId="0" applyFont="1" applyBorder="1" applyAlignment="1">
      <alignment horizontal="left" wrapText="1"/>
    </xf>
    <xf numFmtId="0" fontId="1" fillId="0" borderId="26" xfId="0" applyFont="1" applyBorder="1" applyAlignment="1">
      <alignment horizontal="left" wrapText="1"/>
    </xf>
    <xf numFmtId="0" fontId="1" fillId="0" borderId="3" xfId="0" applyFont="1" applyBorder="1" applyAlignment="1">
      <alignment horizontal="left" wrapText="1"/>
    </xf>
    <xf numFmtId="0" fontId="1" fillId="0" borderId="5" xfId="0" applyFont="1" applyBorder="1" applyAlignment="1">
      <alignment horizontal="left" wrapText="1"/>
    </xf>
    <xf numFmtId="0" fontId="1" fillId="0" borderId="43" xfId="0" applyFont="1" applyBorder="1" applyAlignment="1">
      <alignment horizontal="center" vertical="center"/>
    </xf>
    <xf numFmtId="0" fontId="1" fillId="0" borderId="43" xfId="0" applyFont="1" applyFill="1" applyBorder="1" applyAlignment="1">
      <alignment horizontal="center"/>
    </xf>
    <xf numFmtId="0" fontId="1" fillId="0" borderId="43" xfId="0" applyFont="1" applyBorder="1" applyAlignment="1">
      <alignment horizontal="center" vertical="center" wrapText="1"/>
    </xf>
    <xf numFmtId="0" fontId="5" fillId="2" borderId="43" xfId="0" applyFont="1" applyFill="1" applyBorder="1" applyAlignment="1">
      <alignment horizontal="center" vertical="center" wrapText="1"/>
    </xf>
    <xf numFmtId="0" fontId="0" fillId="0" borderId="43" xfId="0" applyFill="1" applyBorder="1" applyAlignment="1">
      <alignment vertical="center" wrapText="1"/>
    </xf>
    <xf numFmtId="0" fontId="6" fillId="5" borderId="45" xfId="0" applyFont="1" applyFill="1" applyBorder="1" applyAlignment="1">
      <alignment horizontal="center" vertical="center" wrapText="1"/>
    </xf>
    <xf numFmtId="0" fontId="0" fillId="0" borderId="43" xfId="0" applyBorder="1" applyAlignment="1">
      <alignment vertical="center"/>
    </xf>
    <xf numFmtId="0" fontId="0" fillId="0" borderId="62" xfId="0" applyBorder="1" applyAlignment="1">
      <alignment horizontal="left" wrapText="1"/>
    </xf>
    <xf numFmtId="0" fontId="0" fillId="0" borderId="9" xfId="0"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0" fillId="0" borderId="0" xfId="0" applyBorder="1" applyAlignment="1">
      <alignment horizontal="left"/>
    </xf>
    <xf numFmtId="0" fontId="0" fillId="0" borderId="65" xfId="0" applyBorder="1" applyAlignment="1">
      <alignment horizontal="left"/>
    </xf>
    <xf numFmtId="0" fontId="0" fillId="0" borderId="46" xfId="0" applyBorder="1" applyAlignment="1">
      <alignment horizontal="left"/>
    </xf>
    <xf numFmtId="0" fontId="0" fillId="0" borderId="66" xfId="0" applyBorder="1" applyAlignment="1">
      <alignment horizontal="left"/>
    </xf>
    <xf numFmtId="0" fontId="0" fillId="0" borderId="67" xfId="0" applyBorder="1" applyAlignment="1">
      <alignment horizontal="left"/>
    </xf>
    <xf numFmtId="0" fontId="0" fillId="0" borderId="62" xfId="0" applyBorder="1" applyAlignment="1">
      <alignment horizontal="center" wrapText="1"/>
    </xf>
    <xf numFmtId="0" fontId="0" fillId="0" borderId="9" xfId="0" applyBorder="1" applyAlignment="1">
      <alignment horizontal="center" wrapText="1"/>
    </xf>
    <xf numFmtId="0" fontId="0" fillId="0" borderId="63" xfId="0" applyBorder="1" applyAlignment="1">
      <alignment horizontal="center" wrapText="1"/>
    </xf>
    <xf numFmtId="0" fontId="0" fillId="0" borderId="64" xfId="0" applyBorder="1" applyAlignment="1">
      <alignment horizontal="center" wrapText="1"/>
    </xf>
    <xf numFmtId="0" fontId="0" fillId="0" borderId="0" xfId="0" applyBorder="1" applyAlignment="1">
      <alignment horizontal="center" wrapText="1"/>
    </xf>
    <xf numFmtId="0" fontId="0" fillId="0" borderId="65" xfId="0" applyBorder="1" applyAlignment="1">
      <alignment horizontal="center" wrapText="1"/>
    </xf>
    <xf numFmtId="0" fontId="0" fillId="0" borderId="46" xfId="0" applyBorder="1" applyAlignment="1">
      <alignment horizontal="center" wrapText="1"/>
    </xf>
    <xf numFmtId="0" fontId="0" fillId="0" borderId="66" xfId="0" applyBorder="1" applyAlignment="1">
      <alignment horizontal="center" wrapText="1"/>
    </xf>
    <xf numFmtId="0" fontId="0" fillId="0" borderId="67"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10" fillId="7" borderId="0" xfId="0" applyFont="1" applyFill="1"/>
    <xf numFmtId="0" fontId="10" fillId="7" borderId="6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304800</xdr:colOff>
      <xdr:row>3</xdr:row>
      <xdr:rowOff>234686</xdr:rowOff>
    </xdr:to>
    <xdr:sp macro="" textlink="">
      <xdr:nvSpPr>
        <xdr:cNvPr id="2" name="AutoShape 1" descr="data:image/png;base64,iVBORw0KGgoAAAANSUhEUgAAASAAAACGCAYAAAB9sVfHAAAQAElEQVR4AeydB6BdRdW2n5ldTrs1vZJOGhB67x0Esfeu2FABUUFQRFARe/vsftjFBopK772HFkhCeu+3nrrb/85JgugvNyCo4Jd9z3tm9t5T1qxZa82aNTc3Ntt+befAdg68IDmQpmmWpgPjBUn4syDKsv3azoHtHHjBckC6zEB4wRL+DAnbboCeIaO2F9vOgX83BwYyPE999++m6/nsb7sBej65ub2tZ8WB7YUH5oAzMmmaMhAGbuGF/3a7AXrhz9F2Crdz4L+WA9sN0H/t1G4f2L+GA5mafSZQsYE+mdpIBX1cMZckysTKRMo0hKqByDdYa/AbDbKuLqING0j6+oijBpUoIpGH5DylreBFdm03QC+yCdtO7r+fA1uV+69pqsDwAHgaEv9aPyMxhkiGpS4jU1H5qpAKvgxQIOMT9se0JBlWxmbDE/NZdN+9rHzkYSqrV5HVamQyXs5YpTJkT213a15NvSg+/zED9KLgznYi/89zwCn0s2bCPzAKLo7j2nJweWIwMjSyP6RAtVGlUi+TxDJH1W7oW0ffbXey/LI/s/j6G9m4ZDEmF1AcMYywvZ0wyNOWK+JZjxfztd0AvZhnbzvt/zIOOEPh4Dpw6bOFMzJbkSRJM5DsUgf3vF5v0Kg2MNWYUrXO4EZMe18Fu2ARS6+5hlt+/CPu/PWvWT/ncYa3tLHLrrsxfpdZFIeNgFwO43kE0l59HIkvWrzY6X/RMn474S9MDmw1NFupc/cu79JnijRLcWWdoXHYmnfpVlDKsKUGfm0jZsECoqtvYc3//JSHP/ctll/8G7Kb72XMDuOZfuQRTNj/QPKTpkGhnVpiqGv7hWegqb3aszkCX6RoDuFFSvt2srdz4J/jwDOo9aShUFmXV/LMP7IJWw2Pq/v3eXefW7iU+E/Xs+RbP+bB87/K/V/6DvMu/RM9K5YyeuZ4Djn5VUx91fG07rUHjBkr45MnU8zI932CICDTxq2RNvStzp45ZS+4ktsN0AtuSl78BDmlcyCNIGsISlHAQ2rjvvWEmoapaIfeKRjSLKc0S+Q5bPYeVBRpF66aq7MVKuXCJ01sfZaqrWZZl3k6SE/rKuRUNlIaC4kaT9JYcZeIRKdKUb1KrdFPlFRJrVq3qiQNMZ7VPcTybBCazofJdAKVyBtJ1YrFpD5e3cPrNwrogE0soQYalhv4fb2kXatJ5j5I/ZJL6D7zPDaecjZ9n/wSte//kvpNd2K7+hi7yy7s9s53MOodb6fvmCOpTxhP3N5CLQc1E1MXYiHJ4iYtqVwgY61Oyf4KYwzGGMeRFwXsi4LK7US+KDjgjI7DVmL7GzXKOj6OFZQlk1KkBk+2KKxDXigKqbHEUqJYaSK4+0wKpKJNpU+dhOq4x6ieJ+vjPwWuLQerd09nd558LhpsIpUVvAQ8vfDUuGdkOLwAzw8J/Dw5CgRpHj8OsKmHzawMoZGB8ZT3ZGw8GpmhlkFkwfjQbCyISYM6sV/Gr27EX7GYxpwH2XTjtaz68c9Zdu6XWfTRC1n21R+w4U9Xsfa+h1m9dC1lxXPa99+dKe96DRPf/xZajz8Cb8cpZO0jIMhh1PxAQHSoyIv2Y1+0lG8n/AXFgacaHpd3KOikphgWdFITkMq4JCaVx1CnHlflSMiSeGCjGD+KhETGKcWTsXEGxcZ65yBjYXwDAWRNZdewraBHTe1U1qXOTgwMg+f5GCFrejSWxBpitbMVkVybOOcThZaGDw31447J6y61ot1LSUSz53kUNJ6SjFmhv0q4Zg12zmPUb7uNrquuZOkPLubh8y7ktk98invO+wxrvvE9ir++gqE33U/7gqX45W7M0EG0HbgPE9/yaqadcTKd73kNjf1m0TN4EH1ZiFHnNrEamhkYhhf1ZV/U1P8zxG+v87xywBkaB9eoSx1c3sFLAkwkjZUhibS9qsgAVXKGSsmjXMio+AmNoEHiRWS2jo6EcPuX1FZp+FW9r9Pn1+V1pLifRN+JSUi0PdqMmERuUSprZeQKDIRMdRvUiYWERvNOJgZLhLcVmegQnUalfCGM64TVPoLu9XjrV2JWLSObP4/GXXfTffV1rP3571j59e+z9DNfZ+F5X2bxp7/Kys98i+4fXIK95jaGP7yASet6GFFraFwxm9rzbNxxHOV99yD/hpMY8r430vHGl5Luvys9re1s0hhSbfE6ZVRaU8jLDbQZ8ryeHqqitl+8n+0G6MU7d/9Ryp2hcdhKxNa8S7cCbXtiHUFX5eHEUaKtjaFVbkp7Tfl13SSLlhHd9wjxfQ+RPfAoPDIf5i/CLl1OuHotwab1ip9sIujSlqZ7E35vN16lT7GWMl5SwzMRntwlKwOUaqs3EKxiPHnFe3JJTBhHBLUaXm8Zu7EHs3YTZvVG7LI15OYtJnhsIfbBuXDXbMxVN1P75R/Z8K2fsPTCbzL/vIt4/NwLmffpL7Dgoq+z5Ns/ZP1vLqVy862Yxx4jv1K0y8MJZMBaNH5f498g72nB2EFsPHJ/Sm9+IxPf/SEmvfXtdBx9BHbSZCK/JEPoDE6Cn9QVg6qTmYaQYI0ZEMYYXszXdgP0Yp69/yDtifqOJfyJoIVaypKRSsHTRIojGBdYdlsn35N3A1ZLeV7ehd8vpV8ow3P9nXT94k88dPr53Pf+c3jgtE/x6Mc+w4JPfpElF3yDZZ//Lqu/pHjJV/+XlX/4E6v+fAVrrriKdVddy8brb6D75pvp1Zan/667KN97D7VHZj+JqvJP4uHZVB9+gMoD91G96Waqqlu+8ip61eam3/ye9T/7Fat/+FNWyJAs+fq3eeKii3hM26bZZ36Ce884m3vOvoC5X/wfNvz4t2R/vJFQx+O52Q/S/sRChq1bz8hancEZFNy2LvSo5jwqeY9eP2WVSVjb0YHdR1utt72Fnd7zLia84qV07rMHZthQEuMRNdLm1rMl82izITlrSYKMRg5SH4wxA4IX+bXdAL3IJ/A/Rb7FoM0VJoMs0Vea4Ut5AhkcXzESS0ZFXkpdK7kfJPiNfhpLF9B3602s/t1vWfnLX7Dx15cweOF8hi5fQumJufDQA/TfdjPrr/gLKy/5Dct+9DOW/s+PWHDuF1lwzud5wuHsC5l/5ueY99HPMO8jFzDvjPOZ++HzmPuhj2/GB89i7pM4k8c/6KBnp53NE5/4DI+ffT5zzhHO/QzzPvsFFn7lG6z83g9Y/9Of0fP731G7/irSO28h/9iDtK1cQlvPelpqveTq/ZhGHyRljN8gVsC5HibUC5aoJUdSKJIoiB1nAXXFmdKRw+g8+AAmv+2tzHzvKYx76ato3XlnGNlJPMQnyac45lkZLiO+ZZkBWXJfwa6cQuGh2vHEYWMMxjw9eJFf9kVO/3by/0McsAnYCDwFjVEwNkpTRVcMkfHJTAA2TxKmZGkv2dIl1K+/nfX/+xuWfuNiVvz8102vJbdxFb68psBAXgHgktDheQz1fUYIY4IAh/H1lHHVhLH9dUZ3lxm+oZch2jZ1rlxPu7ZNbYtX07lo1RY8Jb/wr/k2vfcXLye3cg2l9Zto7e+nVcfuLdry5NO6toc1bFwjrUUQx6RZhnaLIOJSX7bBBaBtTFXbvj4NLx3URn6HEfhjhxMNbqPSXiRTALk0ZgytB+7LsLe9lmmnvJMhb38d/gF7y/AMJW1thVxJm7OQNLX/oZl7YXW7nQsvrPl4EVGTitaE2E9phIZG4FHXNiuWQUnqdajUaF24BHPNLaz50S9Z9PUfsu4Xl2Huf5i2vh7yQUwjV6ei7Ua/B2XVLZuYcqZnSZVqXKEir6naKNNfiOkvJvQp7c0rn4voV/C6X15Iv1+nLNSCiP8P4d8+K/sRVfVbl0eW+glGRsU3KaG2hvk0IZcibyNU39BVrbGm2s86GaVq3hIM72TQxDGM32kGO+26JzMmzmRc2xgGpW3yU1owo8ZSOOIAhrz3dYw/7WRGvf7VpHvOIh7USjlI6QuseOWR4S6ndrK6Lvt/HI4T/8dZsH34/wwH3I6hTqptVoT7CbSut8p4FPq68R+fS+2mW9nwtR+wVuj97Z8UbJ6Nt3YtYaLAceiT+B5VaaPbtmQ6qncgXwJtZSgWMCWhtQCteUyaYeRledrq+Q5xSiDPK4wycjFN2HpCE40Yr7ElX483P9M72SKGmnYG00pnUqQlypOvBfhVi63IGJTRNjFgUH4YI4eNZ8L0Wey43wHsePjBjD3sADp1UhXuPpX6iCGs6qkzf2038+WNdbfJMO1/IJNf+1p2eNPraHnlifh77kk2dDT1ljaiXIhfyJHPBxpHLKQEYrhFfSr9v/6x/9cZ8O8b/39XT8ZYBUwDWrwAd2RcKPfBvIX0X3k9i//358z56rdZ/4crSB9+lBZ5PJ2tOYqDWkjzIVFkCGs+Q6I2woqHJ+W3FTDllKySkAhRNaKxBZmCtQ4pllSWL0mNdkmZ2klpyMg0ZHRS67EZvlJBW7nU+mSKx2TKJ5kl6kup9iZ0qf0Nut/U0Up18ljM/rMovuRgWl5zNP7rjiL38kPlzexDcZfpBJ0KFvdGlOesZNNNj7LmwcWs8wLSXaYx6M0vZcSZ76TzA6+ncMKhhFOnkyuNwCQ5EgWXjQxkKK8q1EmY16hjGzWMvEMbRZhML9h+2e0s+L/Nga1H5i51/0bJoawtSY+OqqvVOmmlATpCz8SmSF5OQ0oUl/uRvaCiOEm6oRv70FyiS69uHlWv+MYP6Pv9n8jf/6ACtx6+34GhRUpZxGZFAlsi9Fvw/JK2QHk8KaKXxYoFJchcyDswBMYQyujkFU8Krc8mxWrK2iIhxQ+8HLnMJyeyijIkbVXokCvl9W+Ud1Uh534vyIvoT6psiir0yktLWloUr9mBwoF7ExxxIOGrTqTt3W9jxOmnMOYDJzPitS+n/eB9yU8dT9geEHWvp+/+2Wy68kbWXH49K299gE2re8kGjWbU0cew54fex07veisjX/1ySoceRLDjRNJBQ6jlcji+IPoL8vBCGT6jcWQaB36Iny9iVcYZRFTGGKNkM8TeJz9uLrbiyYf/pRn7Xzqu7cPaBgeeKuBPzbtqhdSj3QQUpCxWHkvFz+gmporBhD6etRRXriR3/330XHEl8y/+KQ/96McsveZq0lUrKMgA+GGs0yJ5RbYbTBcJG4iT9TSitdTqq5qo1lYS5XtJixWSQpkkKJNZ9aKtnE0aOnVq4MljGJ8GjIwtLfJ2aDSoZhHdIWxoy7F2SIl1o4ZQn7Q3tSl7UZ91AN4hx9H+mjcy8n3vZ8xHT2fUmR9m6BnvpeNdJzL6Dccy8dA9GTtiMG0bNpHe9SB9f7qert9eQc9P/0jvN3/Lxl9ey+o7Hmblph66xo7AHnswg9//ZsZ98kOMOOVt+DJi8W47EY0cSlWxr3KakSYxRaWtGeTlpbH9ekYcsM+o1PZC/1UccAZn64D+Pu/uYyl5HMXI3uD+vVNDHpEhowUI5AkkD+lU64rrWXvxz1j8PKOkpwAAEABJREFU7R+w+he/xdw9m0HrNtFSrRLXKvRFZborfXTrtKmnUqa/VqMS1anqhKkhrydSe7GBuuIo1U1lKt01Kv0xffJmehoePUmObgp021bmDWph4YgOVkweTd9eO+Mff6ROmV7PpNPfx8xPnMHM8z7GyAs+zJhPnMqkM05hxvvfzfQ3vIkpRxzHDhN2Zgjt2GV92kI9xIo/3MQTP7qUx/7nZ8xTcHzBZX9m0W23sXDOg6xavhgrj699yGDGHrS/vJw3s/vHP8yMs2TA3vZ6GocdyMYJE9hYaKcr10KfzSv+FeLZHM5TQx4haYpLjTEY89zB83O9YFuxL1jKthP2L+GAMzCuYZc6/H3e3UehRzXv0TCgj1Z2S2slxa7oojJ7AatuvI+Hrr+VBXMep65VvzhmNLkdpxBPmki/FLQyeUfq03Ymmbkf7HwQ3izFR/Y4gsLex9B24EsYdMjLGHrYKxh2xCsZ9qq3MvwN72Dk29/N6Pd9gHEf+QiTPnUOkz//aXb86ueZ+o2LmP6tC5n6lfOZ9tlzmHrWaez4/ncx4bWvUf2jaNWJVHHCJIbEVfy1y9n0wF0suvx3PHHx95j/ra/x+Ne/zCPf/Arzv/Nt1vzkUmp/uZnSg/MYpiDy8DoMyrXROngUpbFTMPvsRc/7Xkbu4+9m1Lmn0nnymykefiie2vdaOinIK2wTUwZVDYOq0F6DNtnpfOb4JE5ZBxkgK7D9eiYc2G6AngmX/svKZG6l1phc6qCsFu3sSdTl8VTiBnUFSzMFeJ0+Ke5LXUbJTBhG54G7sNO738S+553FXl/4FDt/7Xwmfe3TTPzG55jx7a+zx9e/zp4XfYmdP/tpZn72k0z/zCeY+umz2fG8jzPpkx9j3DkfYcw5ZzD67DMY+/HTGfOxDzH6tPcy8j1vY9ibX83gV7yEzuMOo+Pw/RWb2YvRI8YxMj+Ijr4EFqyk+9Z7WPq7P/LYd37IPZ/7Ind+8jOs+cIPWf3Vi1n5nZ+y/KeXsPyPf2DNbdfSO/9e0k1PKD60lrZCnaBYoyqsb41ZO6JEbZcdGfzSl7LbBz/C3uecz/hTP0TbK15Jfcau9LUOo98r4gLZ2mkRkBJoO+qXQKEorCeeIevjGGggk8cTywglyhtjMOa5wTX7347tBui/bIa3qMP/PypndASnMqlJeRKkJDI4qbZFUiEwUPQD2vwcBd/H96yeZdRMRKVkSCcNobj/VHkGexEetg/hoXvjH7Yv5tB9iPaZRd+UHahPn0S4287Y3SeT7jqOdOexJDNGEU0eSmPcIBqjWqkPLVIfnKfes4HqymX0zZvHhnvuZeXV17HwV7/lsW//iAcv+joPnPclFpzzReZ96ks89rmvMf+r32bp9y9m/a9+Q+WKK7C33op/732suP9+yosX01KuMjosMK6lgxH5NlpMTidPGfVqgx431uGD5IXtwbi3vJwdP3KyPK6TaXnnq6meeBg10dzSMYZCy2DyYYG8DRUcF0Pk0CSqGynAXfUb9FrB1CkrbfgJicn0VpwXf8VMdMP265lxwD6zYttLvRg4IBXAQfoiHci2ejRkiktk2iohWBWwRtPu9Eo3sZFq2VTHwrGCvlVspZ9gxWoCHamb+QvgiQX4CxbSunApnQtXUJq3GG/OfLL7HyK66z4at91DcsNdcPXtcMVN2GtuIvrLlZT/9EfWX3IJq3/yM1b84H9Z+o3vsOgLMiDnfZ7Hzzyfx07/JI9+6BzmnXU+T3zicyw67yKWy8Cs/cr36P3ez4l+fhmeTtZyf7mB+M57sA/PobB4ES1rV1LctI5ifzetOqkbHOYY2d7O0KEFOooeeR13p4orVbob9OvUrTZiAunu+5I74eUM++hHGXnmWYw646MMPfl9tL/05RT22pv8uHHk21sJ8z5ZTkZ2i4H2gpRQ8HXvpeCnPjkFxEuJR0kncQV8gtRixFfZoKaIeJ6HVZC+ebP9a5scsNsssb3Ai4oDqUxQ5iBD47ZXDroFrc4un2VWWUsqZUpjq20F5OsNgtWrqdwtD+TSP/LIhV/gntPO4J5TP8JdDqd9lLtP/xj3nvYx7lN63+ln8chHz2f+mZ9n/lkXMf/jwtlfYP4n5K2c+2UWfuorLBA2fPFb9H39e5TlzdT/9+ckv/wt5rLL8a+6itz111O4Wcbq/oeJH5mHeWIJ+ZVraN/YzeC+CkMrNYZWawyp1qX0gk7GiiSUpOlFSW3gxhen1LVF7BOW+Ia1MkZ97YOwoyfQMWsvRh/7Eia//e1M/9iHmaot3/B3vIHWlx+P2Wt3GmPGUGtrJQqCJm/8JMGmapRnfhljmoWN2Zw2b/RlzN/e69H2z9NwQFP5NG+2P37RcWCz4ZEJSgVtqdzv9DTh8s4A6XlDM+5+8TeWIttqGZbqKPyOe9n0m8tZ/e0fs+KL3yH+8xW0P/YI7Y8/2kTbY3NofexxWh5/nNLjcynNnUvuifkEC58gXLiAnDyT/LLFFJYvpaDtVGH1CoprBHkihf4GhXJEvhoRNhLFYjKCzOBLST0hbA3wWz3krNAIY8p+jV6vSrfQ5VfpCmpkoSX2DVV5In0aQ5fGsiHw2dBSYuPgQXSPGkl+lz1pPfoohr/7zYw571TGfu4Mhp/1Hlre+DLsAfuRTpyKKQyGoEXeoYwOPpYQzwsxMkKZb8FmGGOeNZygGPPXeu5+O54ZB8T1Z1Zwe6kXPgekl7itVqaMg6PYpZufpaR6bho1/HIP/oplpNpGbbr0ChZ9/ycs/emvqN58Kx1Ll9Be7iMf18jFdUGGQ95BmMTagqT4SYb7JxHubynXiWnYhIaf0ggyohzEBRmLkkfc4lPOBfSFgtLeXIhDTz6kiUKO3mIOt41pyTxataUpySgU8GQWjL5BNhINiHrdUqt78nZCIq8NO2gsrTvuxsiDj2LHV76WXd5+Mvt97Exmnv4Bhp/8JrxXHUfffnvQPXE8lUGDSHJ5PG2VCo2UsA5hLCTIsxIyq76sjJJBQ3tWxoctlzFmS2578vcc2Nb9dgO0LQ69qN5n2m0JMjRNw/M3qQaie7t6LclNt7PmV5cy79sXs+jiS+i79W68DevwcynpYJ+k4JFIYRPFOuLUYzN8IsU/oizQfUgio4GUV+ZIDXsYG2CD3GaEUnghlMeSyyIpeoN80qAgFOMGxahOMRYUr6nIsPXJQ+szGWUPyoGlHHr053z6derWVwjYOHk09T1nUDrhMMa+/XXsePp72fHjH2Dsx95P+6nvJDj5ddT32414xlSSIcOxNk8+zijU6vK8quQaDayJqZZS6rmYyMYyOAmIH9rVYSPwdLzuJc9OHYwxTYMlBmz//JMceHYc/yc7+W+u9v8r+tMZgIGfb4tHmQpEMi+1WIqkuIgOrpAW4RQoi8HdGxkNZBRq1mO9thSrvYxeL8XU+wkWzVew+Do2fe9iVl/0LTb++BfUbr4eb8VcGYZuCmGq7YiMjYyOkaHJ6fQo0PbE90P8IMSTJxNqq5ILQ50QuWdWWxc2I7QQeCTqM/Z8GvIpqtjmyVmskyMT6nUAziAFMj65apWiTqvaajVK1sgLkiJHGY26jFAaUusYjj9zN4a85KWMf/s7mPD587SlOo+R536czjNOpfC2t+AfcxTJTjPo7xxMl7Z0nniDPLVM/MniBAN4vo8RzalnyWQs8plHKATWx3qeChjkdNEMhInGZp5tX8YYjDHbLvh/sMQz0YenssU+9WZ7/oXLAZNBIEMTpIacDIJ0HGdvYulRw4eG0ppiGM5IFaT8o7Wi79AbMWThGvyb72fdr//Mo9//GQuvvI7y8lVkXb06MUopph75yJKrG3kllnZZi0TtbLI1ekyN/qxGNalRT+s0EiGu0hC8NJEypwTyYDwZFdMoY6p9ZNVuGbwuvLqMWn+dfG+C15+gJqiI2D6vQG9LB31DRtA3cgei8VPwdt+DQSccy7j3vJUZ55zKzuefwYxzP8T409/F0He/idF7zGLI1EnkRg6H1iLI0Ll4cZMnFgqKBz2bmduqJM+mzvay/xoOaPr+NQ2/0FvdKoTPNf23jVMGCBkfTyu39QzuNiKlmjak2FWhQl0nRZlNCeI6rFkHN91J1/d+zLyvfJMVP/sl2Z13EqxaQVqrkNMK3lIoUSi0aAg+tVok1Il0IpZJs21okDODdkQKGmeE8io8HXvbKIKoAdWGjuwbBPWEfAJFGb2S6CrK68pruxNmDVI/TyPfSq00iOrgETQmTII99qJ47PEMfcMbGXPyyUz+wPuZdOoHGHP6+xn2oXfR+s7X4Z10HPV996Z/0iQqw4aRtJVIFC+KfEMtjalpG+f+7pA1kJcEa8eIMWZAoGvrXCvb/Lj7ZuYpX+7ZiwlPIf1ps//O8TwtEU/zQtP3NG+2P35hccCIHDdbShMh3XJbtJZOWYpOGYC2vn7MgidYf/11LPnpxcy5+Pss+stl9D1yH2H3GgYFKUXFeWJTI1E+luZGhTz1fJ5aLqAR+grY+njaxuVqhryDPKmcYiNB5uPZEOR9pQok13MF+oMiXV6O9TZgnYzNhlIH/cNGk+jEyZuxC+bIw8i98qUMedvrmfDB9zDzY6ez81kfZtqH38/I97+dtne8Ef/YQ0n3253G9B2pDBlBOWilToiJfMWKchTjHNXYGdqUyBhwBtj38Kx1h1ZYuUImcdwQQ57hxynk1qIu7+Dut6Yuvx3/Hg7Yf083L8xenMA9V/y7RuZUrKbZcqjL80l0AhUoeOtFcj829BDPXUzftbfT9YNfsuw7F7P4Z7+g/547ae3byDAFc1vyMi5pg0zbpVwSYRUAjuXFRPUY7aIw2tM5w+M5hY4VU9K2LI4tdRmffu31NhpYHcDiHDyRN6wZP4L+3WYSH7gPwfHH0P761+oE6l2M/tCpjDrjY4z+6NlM/cQ5TDnrI4z6wHvpeONrKRx7FMHee5BMmUwyYjhxWwvVlgKRDJoxVp4WFGRsivWUguiwHogsCjJuDnnFpELrExgPX8bIKgCWKQCWySsyxmDMwPhHc60emh/3zmVc+mKCo3lb+HeOZ1u0/P17ifTfP/o/cp9JWLGYLUC5zROVkkmxpYLuyfMCZDAGRtbcUrltlctlKr8VqfIOicmoW6ipZKT4SyIDkvR0Ey9cwvrb7uKxy/7CY7/4Let+dznpvQ8waOMmBikoGygo26jVqDVkaBSALQYFBgclWuRluL8SmEnZkyhFuxodc6dUZJDKelcpdRIPHYU/cQrte+3B6KOPZMdXv5xd3/Fm9nr/O5j1wXex06kns8tp7xXex1R5OGPf/Q6GvOl1tL3sJPLHH0118gTKwwZTH9xB3FrSEX2OSMHsyI2lXqcuWG3rQp1/BzI4gdJQHPdtRkPbuLKp0+9FpPWITFvEuNYg0RYxUZ1MPDCAbz0CBZsRn7YFI95txdaymYveu/luItHRv7O+Sptl1YFBuUxwS4Ag2iU6OKS45+69ColuN3+qoayMMSYAABAASURBVJxpAn1rWKLMkMo4ujqZq4/aEYzqD4RMZZrYQps7aTA6uTOglvWtDjO1sRWo/GbohZ43P66rLbeuFo4OcK+av5ah5nS3ua3mwy1l3fO/hV4YNSb6XRtIb5zj6aCnbB6bmnqWH/ssyz/j4i/0gkkjkjBHZIptJEIsRY2lsLEkJhbnG5r0hIxUDB8IWxk/cCoxcxM/EDS/+qhHJxyZUtd7IjZuhhVNLRF01DLau8rkH19A9x/+wuKvf5sVX/omdQWYi7fcRUHbsHxDqqGTrJ44YH1SYKPfTm9uEH1Bp7ZKbawstbFp+DBqUydg99mJ8Mh9aXnl0Qx5+2sYfcq7GH/Oh5n4mbMZd/6ZjPr0Rxn+idMZfuaHGH76KYw45X2MOvk9DH3lK2g54nCCffYinboj8XB5NMUiiTyZJE1JdQwehpYgsBh0T6KfWLkYOTB4OQ9f8MIcqQxIoi1VohiSQ6b7QFu9vLZ8BW39DAGeH2B0ApeoTuxbYpXP1BdSBLRljMWxgeC2rXiGJ+ECSFug6q4JMAb3k0oGIhlD2WWcLCSShRTJim2oTCyACmosbFZiXJqQJLEguZI1j2UoG0KktlL1k6rtVPQ6WWrEVeI0wuUHhFW7MsaZJ3lQ3vWJ2jIaO0qT1GphSYhFa0YqDjhT4CCZkbykmgMcuRq8yYzeQ6LnsXIN0RVpQYo1+EQNqznX5JNwrLImw6qsA+JBrVGjXKvSkNetj9JM49DgNbbMJGpb/NHts/m4YT2b8v81Zf1cjJ+PsEEk0WrQU6mzUac1/VLaviSgT+nams/qysBY1mdZ1jsA9H5V2TIQVvcbdChFVw9s6jaCFXzBsrEbIWPTpjpda7roXrSU1bfexSO//B2P/Oo3rLjpJpJVyxla8hg8ZjSMnU6446607XkAw488lh1e8Qomvun1THrnm5moU6Zxp7+TMee8jwnnfYgpF3yYyed9mPFnncLoD5/M8A/Kg/nAO2g5+eV4bzoc8+qDyY7dh3j/XanPmEp11FgqbUOo5DspmxYqFKhkRSppnnIS0h8FdItnmzTejRrTkvWWJ9alzF+bMG9NzNxVMY+vbPDYijpzltd4dFmVBcurLBwIK6o8sbHBgu6UlRVY0Z+xYGOVuevKzFsfsWATLOqC1b3BgFjV47GkywyIxd0eC7sDFm+yLFOf6/uq1KRpVtrpWw8jpTVJ1oyReVLoUM8DL8MkNVmKhpQ1lp5GTR1JpNjlakx/JUVrAhs2pri57Onx2bjRZ3W3z4q+gbFO79eq/Mouj+UuLQesrFoWdSc8traf+Zv6WLqih3IfZIlHmvgkMjaIkiYRMgrGBxOIRpsokyAbqNTSkPHqEm0rezKWioeruhqs6qqzclPtr9j41/tVXTFryiW66i1skk6s74ro6a4RVRp4jQS/HmO1pedZXv9nDRCasLhh6ZZgz5u/kT9f9SBf/MYf+einLuGcz10j3MS5X7yOT3352gHx6a9cw6e/OgD0/twvXcNA+OSXr+LMr10u/Fm4gjO/emUTH/uq8l9zz/7Ix7/9Bz5/6ZVcsWAFa9oH0bL//kx551t0ZH0mU77xKYZ9+zyGfOeTjPnOmYz+5kcY+aXTGHbB+xjy8XfSedqbaXvP63XC9GqGvOF1jHjpG2g5/CTsnkcSzzyA2o770j1qFsuKE3gsGsTjqwvMn+/xyJyUe+6vcsMtm/jDVSv4xR+e4Ee/fozv/vIRLvrJHZz/w5s47wfX88nvXs/Z37qOj339Gj4qXnzkq1dzxleu4pwvXcG5X7iqiU9edCWfvOgKPvH5v3DOhX/h7M/9uYnTL/ojp37hD0+L0/Tu3K9fyenn/5KzP/97Pv/NK/nit6/hs1+7gk984Y+c9fk/8amvXq82L98G/sQ5Fw2Msy78HWde+DO+8sNLuerme1m5ZqMUOsHIEzBSLGvkhQly5UAeM/J4sqShlT/G+j6etreZycvIVvnZtY9zwQ+u4SMX/ZYPX3QZp174ez50we8546K/cPbXruPsL17Jxy+8fEB88nOX4/Dxz/6BMz97mWi7nI9+7g98+IJfcO5Fv+YbP7qWRYvX0WhkyLFBjqeMkAh1BkgG0j1zd4j+1HlI8mLA0NPf4N6HF/HDS67hvK/9ik98+bec8aXrOeOLN/CRL23G5vz1zfsz9OzDX7qOD37hiuYcf/hLl3Lml3/Bd1T/joeXsr5syDR2v9DGs73+7xogE+J7eUqlIu2dYyAczoJVda69YzGXXvcYl94wl7/cvIgrbl4yIK69Y6XqDIyrblnKQLji1mVcdtdSLrtzGX+4c6XS1Vx2xxrlV3PZnSuEZVx7z3KWze8mDIYzfsbeTDr4aEa/5GUMOelVFE98JfHhLyXa/why+yoovOfeeLvsgZ26K+mEGaQjtUUaNJF6aQKro+HMXpnj5jk1/njrKn55xRP8+PeP8p2f3ccX/ucGzpNCf/yCyznzM1dw1oVX8vGvXMs5376Bc390C+f94g7O/809fOZ39/K9P8/lF1cvauKX1y7kkhsW8JubFvLbW+bz+1uf4NLbnuDmB9Zy18Obmrj7kS7uebRb6OXex3q57/G+Ju5aUOOuhU+PO/Xuzgc3cveDG1iwpMGKVbBwUZ1HHu3hvtmbuPP+Tdwxu4/r71nzV/yD/A33ruHW+zcMiJvuXsEtdzzGshXdOuwrMrizg1IuxJNWJfJ8Em0H0f7RxY3qUYNYAXC3dUxtQCJ5KuvEcMnKKlfdvpSL/zyPX1yzkEtuXMbld63nhof7uXp2L3+5ewNX3LtB87mW6+9aPTA0jhvuX8f1961X+XVcc/cabrh7Jbffu5KFS2sYM5TWtla0MwVZSOfdOECq+4ymVVKiGxz9iP5Mhqm7N+HR+eu47o4F/PFG4bZlXDu7zLUPVoRqE9c9tDWvdHZF9Ne4fwFcL9r/ojm+89EVrC6niuu1kOY9quq/Gjc749lc/3cNkI00P3XkKeMM96CR7bQPa8e2+aRFiVxbSCbGpjnLQKjLta2bhIEQB4aBoB0fWE2F9chMAFpFseq/mde9Tn46BrWzzz6zmLbTJMJOqAWxhD4hleQ1dFze6E+pagvXtd5nzWrD/EUNbp/dze+uXcHXL3mUc757Bx/88rV8QKvXR76pVe97l/KZn17Fly65ke9cdg8/u3oOf75rlQyTDMOSKnOkSPNXN1i6tsH6DQn93ZD0+gRln3wlIFPaKHvEVY+s4WHlUQbGkg98inlLSUf8mRcR2Tqx11CcJyYLE0w+xeYz/ILBLwqWpoJ7PH1abZQZOqyTmTtNZeKE0bj207SO80wyMuou5qI5iwdAJJrqXspACIt5pk6ayuEHHcyRB+/FmOFtoi3W9iZSXxqnPAunY6nJcL+sqRWMzPjS6zxyKnhicYXrb36UG296mCWLNmKzNvFhGGkcygDkyIUlGYsivhY+E6qe5MvJ2NOhkTM4uh3qEgNHe2QSchrLxHHDOeyAPZgyZQTFlgwkz1Z89vxEnEzJ5A5lmcUdMMhW4tkcVjLW3R03vaaly/vor7fglcaTa5uMZ8pCv9CHxWFL3ri0H5uWybrrZH0Vxgzq4JiD9+YVxx/I7jNG0pqr4cVd5P1+9f3sPpr+Z1fhxVg6yySmQqpJ2Qo0kSZISW2s05iEno0VVi3pw2gLkiV5rBFrUqmFFIsBYLKchPOZIsQgScIXGz3BItHB032r3y4DogmUYgWuiOgNRUNIlWHtdQ7aayQH7DOGzsEVomAT5cJ6qsWIvjBgRc3j/sUZv75tE+f/fgEf//EDfOjr1/P+L17OR7/+J77w05v52VWPctV9K7hrXhePLCsrNhOxssewQQZkUwP6EkNN/cWucz8HnkPYTDPPpSLK88kcfB9P5Ps2xbcZngEPK+h5FkhYc5uhcVnj42CMh1EJuwUGqx+PQH0ZxSNsBPnEo5SGhLEMXN0naoQ0Ys1FUmbCyIi9podMGVkilLfRp0B72UuIAo9GFKo/fxsIMKkvGgKslNHoaN+4VF6BrCSmBgVRtMOIEpNHtTK6BDlNTr0e0dA4Ys2Up7nwkwTP/Y5SIOXVXCZ6Xk1hzrJe/nDLw/z25rk8trwskSni+ghEXz7IyPk19d1Dmilg5fViDFjJjs1Eu+NZE+KiAsNWdDhkqWhWbK2gcm2mhaJplzEskUouZ00by6wJBQa1eIS+wROfk9hS1SGFDhfVvo+vvr3A4odV0QPr63DPwgaX3baIK+9+jKXrN5DTAlsKEA8zfD8gdHWoYePeJrykn8A01HeMv2EN07X4venoGbzjpN3Zb+pQBqluqHkLbEl95gWzTfCUyz4l/38qG0cJcbqZ8euawbx1dPdWqdVjTUKuyUQQM7cB3CW3lmcClc2Ev/noQSrUpFC5QpFMP3GjSqDji6xRRvLFThPHse9uu2j1H0ch10q53MqSpT5X3rCUb/7oRj775Uv53Fd+xrd/cAl/uPwabrr1bh6fv4SNXX1EMiwYKTSWKE60EmcakSf4GGMxuLxLtwKkqUK8BbIMRt7i3wFSjFGRLUAp/9+lNsUX8xSg/FPhTh9dNWMMmTLGWilFSKmYIxcaPBPTkjPMmjGJqZPHEwQ+lWqdJDXaJuWa95uP4Q00iXi6FF1//06PmnWUqnPPsxQKAUVB5OAuY7bWUQH3gAZxViFKquJAplkKmL94Azfc/AB33TuXVWvLeuerVYu+3AfXhDEZzRGaVM8z3GX05OnBlrcZJhPEHVfftRPISBSKocaO+JAKGei9oz+UwTHiWSOu6HkdZDyqMrIbynD3A6u5/MqbuPPehxUHqql+jljWqtLXS1goUFMwWeJPZgqkAqZIGMoLNDncr3JM2CHHgfvvyP777MjYka3kQwjEs8APsFY3WmR4lpd9luVf+MWfMYUemdTcBe6Xr9rA3IXL6a5Ezd+69bWpTtNELbmJVfIv/ki+iKVQvo6eDVpTkzpe1qDkZ0wbN4aD99iNiSPHsG5jxNXXPc63FPT9/Jdu4gvfuJMf/+pxbrpzAwtWxvTWQnwvLxS0muUJfKVeiOcFeNbDCgaLkRHYDOWb995TnhnAKclWA/R0aaZy2/ioiBvbQIhlFI21ZHKpIpVvZOpbXpX1YqzzOOhn6oTB7LPndEaPaJG3Wqe/UheFnjpXPc2TdUqtu+f68X2P1rYCLa0FHM2YRDwzymdNNNsXXQQ1Ms1NFY/FaypaCB7mimsf4pHH19Lb56uslLFZ+Ll9GfEFmaFMo80kF6nMnRFN+YJPS0tIEGaSYSPvJdHCIn7pnSevVK4LcZYQ2Qz3u2NdjRz3PbaWK26Yzc13PsrSlV2kWUgh3yLPLMRqZ+D5FokgNa03DXmhmVVsJ8vTqCdiQ8yIIa0cd+RkTjh2BrvuPIxB7VbGJ8IYTZoTGSHD8myvZ1/j2fbwAi3v+3kMPt29DRYtX8+S1ZuoyQ0mKJCKkbH7ZbemFP7rB2CMKJGhiONUNIHshARms6FDAAAQAElEQVQrpbNjEBMnTJU3MIT7Zy/kuz+9jh/86lZ+feUcblNQd9G6kE2NNqlpCw2tUokMaiqXPYl9bV9oCk8krU6TDGMsvhfIEPkYxQbMk0bIYEDPzBbYZqonsPkN/MOUbV7qlUy8HBBSFGMNSNlitdiQQalGVWoKaJmkjyFthsMPmMHEMR16VqW7q1sKh5Tcp96INMYKWVJTzef+cVuW9s4i7R1F0Z2pk8SR1cxn4lcmviGZwS9SSwo8sazGZVc+KgM0jyWrYr0aRJBvxXj+cydGLVjxRAlZ6mhJlY0xijkWtWdqay8Qao/oh1bPrMrovQyJUVkjj8cPW0htno1ly72P9/L7qx7glnuX0N9oodAyUgYrpKrAlS8jmrM+ab1KPgg0W7Z5wKcJwcXZiLoZPcRy/OEzOOm4WcyY3E5LWMPFhEwaqV8ZugQidS8qReOz+9hnV/y/qLS45X5HY8nytcxbtIq1XVUyr6DJaZcLHRMnMS529O8asZuIXCBBkPlDCmlzBYLWQaztjbnx7sf53ZX38Yfrn+DR5XW60hZqhRKmo4BtMRA2CMNYWxYrUxHKyOSa3k8YFpXmpERqV4IZKRqZxBJiKZNpQuWlVMYBlzdbjI8n5dsWzLZZk6nINmCM+hUywWj8Vsi02ifa4rRr/7mTYh0H7D2NQW0elb5NTQ8oFb0NGWvnPXmeVSex8Nw/vvOA5P20tGrsRFLAGKNhOjnI5JllWUaW5unry/OwTuEu/eOD/EmLwaIVKYk3CCvjg+IxGGnjcycHq86bHoZkwvEky0SPDFBeAf6W1hBfsSXHXrFOcy5CXUbGx8hzSVMjj1kxn/tXcskfb5fxWciabrXid2KDDlJ5QFpjtQWLSeoNbKOOlXzkPY9QLE0afeT9MjOmtPGSo3bkpcLUcR2oW/wsag7TU3/WQezK5G1Foo9neamrZ1njxVDczYrDk7S6mwz344LQ7s7td7u6+1i6Yi1LV66jV3GFWBMehJ5W1BjP0BQ+aSIDQ6/V8rbLuHJ/BxGibiBNdVpRo6QYkMVq757hBSF1CdFji1Zw012P8NjijZSzdm3Lh5IV83KtG0ReP6mQGW3w5QeRxkRSzLo28lWNp6qtSrVWI4pidZFpPGpdAmPUh8HDbP1pGiOad7aZN2RScukcDihvFBw1zXqoXCpvKkOsIvSRG2+eRD6wbEUuQO8zGcGsWd7X9sBtlzRCtZEgRqPiGHlBZBnW+lg/UHcenm8ZNrRNsZ/xjBvdRjFnNYYUsUTmKaORpCJEfRVyWC9TWwwM9ajpVTcZKr05VZ+qhXvuFF1d4hYBR3emXlQIa8Bo6wMpiSpW6oYVqzJuvfMJrrnxUZ189WkONC9+iUYcEckbS115o8K4a2uqhtQSTwJdW98p+9SPe6x5QJRmghtztplIGRrIi+mhGOdZV8nxIcXR78qDwbGmX+cZCxeXuf3Oedx133zKOkYLi4NITECkoH+o7Vex1Kr2xHO1HQqxZCUUmTlP7cX9DG417LfHeI45dAbTJumEGOT5ZOrBUy4A42GMafJIkyOvKuLZXs0hPNtKL/TyTUOciMrMIdUUJmKUS1PqUUSix2WtcMtlgB5f2s3y9TF1KVgl2kittpq8jo87/VZ8SZ+R0gwEaQ/bQmbAgS2Xk00r2pzeuNRIEWKtKrEMRckvEGjb1OjtYv2apWzq3kiDHElQwoZ14rRXK1CdougKZWz82ODptCTWyUwjzsgkPEg2vJyPL4SKZ/nu1Mp6WP14Mjx6g5XwSHNRRtDHQCBDGGgLRKNfR+vrCcx62oubGD24xvRxOfbbeTDHHjiMlx89VKcgU3n/K3fjlFfuzimv3p0PvmYPPvS6vTj1dXtz2uv35vQ37MNpb9azN+3K+1+7E+98+TTecPxkXnn4DrzkgFEctddwjthjCHvs2MaOwy1jShqTTl7KXRvp7+1nUHsrB+8+hVceMoMhhS7RkrG+O2Jldw8VqoRFHy/IaxYNkd/AwsAwYAJDLOGQPSXS8h/p+N7ahDCICXN1SvmMDuNT8MD35BF4gdo0+IgfXo0Ndcud83v4xbX3ctkts1m8sZ/SsBEEWjhSWWpfyhiA6sQYGwkuTZVmkj8ED0OwBQbItkBJ82P17eAp9WjEZW31asRBDvJteF6BduWH5QJKgKcDBk+y46nvTOPAJDQ0/2v7atxw90J+9fvr+ctVDxHVi2BCkqwu2a+Q2DqR6lVjqIla8jkiz9c48jIiFYKsj50nDeZlR+7J8QfNYseRbeqv4jqUfHkkaYE0EzSW1I1BbQXGim95nu3lRvts67zgyxs3f25kYkwqhXJA0+5Zj0KhgGctvWWPRUt7Wba8h2rVaJVukSCW9C4n4SuIrTlwk6Pvf/XHyO3NFTsoSyJ06kugOJRV3+7X3ONKHT/NyONL4IIm/CSgCRkel3ruXnmTedskNSMjNRIbB4ljSkq2Ne9SobMYMmvySF55zG586B2HcdYph3L2+w/ivPcdwaffcxznvuMlfPQtB3Lam3bn1DeqzOt35QOvm8X7X7Mz7331zCbe86oZnPrqnfnI63blrDfvySffvi+fetdBXPDeI/jcB47lolOPF07gtLcdyunq4wNvOkDGaSJ7TPSZPLTBrhNa2HPKCMYNslgbSuihJubUFSWVvuGJP9bpb5JoZlOeyWVUyBp9Sy6M6hqjvJ7hDK9ko6VYUBC6hTBAc5CD1CNTQDb12uip+syTF3r9rY9y1U0PsGxNL4mXI/MNiamTBREmJ16GCZkWB9fsc4VbmCwZVrQiGUCeokSXttYWciLS5ZNaH56Mqkk9anHA+h7Dwws2cvWtj3C9As5rKymJY1jTK4vANASl1qV15TejLrcpUftZVmH0iBJHHbobLzv+AHadMZxWuUV+sw2alzGb+WaMwRjTfPbPftl/tuILup7jSROpyExwBihtMtDiHktmWbMxYe5iGaBVFeqNAM8r4lt5GvKzdRqp0wDVk6CqgX/5J5MCNOr9eCahs6OV4UMH01oqiR4pn4TPk7IZGRcrI+MJJgtweePygnvm7q2EcFvEZrifFPeTKJ+alER3icsrdc/HjhnOIfvuynFH7MVLZYSOPnASB8wazC4Tc+wwJGNES4PWfIUw1GoZlgkEP+jH96UMXi/WboaXVrUoy5NIGgQ6Gm7JJXS2ZgzrhJFDDWNGWA7dfSgv2X80bzhmKh+Q1/Sxdx7Kh954EK84YgYzx7WQSypgfHkDhr5yTajiYj/WWJBSZoppNRWUZ3BpPj3VM+Kphovv8q4NIfADioU8vuc4gVNXKa5HhEdPJc+Dj2/kD1c+xNW3zGWZPOaaPIDMC7S9rYqMKn4oWfMT6mmDSFthnpcrlbwKmiNnfDIJbqjFasjgQRRyOdEPgQxgKve6LO9syeo6N9y1WAHn2dw9ZxWVoJ3i8DEYz9L00t2gXVuaC0yEgj6CjKcMaBrJK6puYvyoEkcfMl2B/8lMHGUoqqp1DDMexpgm0GWM0ffmjzGm+dwYs/nBs/hW88+i9IumaApaFTJZdGWaVCey8M2MhK+nu8b8JRuZt2QTG3oTYikxmkQjRsdJRD2uS5AiXNCxWecZfT2HQhJY09jIpB062WX6Dowd1UGpFEqofWwQkFhfimBIRZ/7sxyZUpd3qYN75uCebYsKDX+LwUnJSPWjbxlnfePqp3pa1onI2u5uVq7vZs3GKn01T/2HqucEzOLiaHUFJhq45442n9g4OlXGy5FsQaotEn6O1A/1zCeyVtvJjBopNXmmVc2PFb+9qJ+C7WfiyJDD9pnICUftygF7T8b9ronWBTK119B2o79cpywjlGiR8OSxGBmUtGmA3Ki2MXKVtWnmTHlTF11d6+70XAMi9HzaWkq0tOZFXYrBx316y/D4wk3ccs8SbrtvBcvXpeRbh1EodUr5PYXdqvJA6iqagOiKI/Ensdsg5pm+zkRHhnU0ukORJJKBtAwd0kkxH2DVjdWWrBp7rNoUy/PpFp3LuWP2CtZ0qV7YLuNZJUtVUAsYGi+Z8moVzTMaaROah6RvHdN26OBVx+3FSUftwo475Mlpq2Y081mcUe2PMMY8CTcCYzbfu/w/C0fNP1v3BVsvk0InWnWdATKaJSu4OXQEK87Gpo1dzFdwd+mqjVTk0icSTBcPMFodjCdBsjGBAgHGGlflXw7Ppgxtjdhn1/Hsuct4OtoCrfIVGhpDU2m1+jQ02Yn2+Q6x0lh0bk3dM4fsGbkCGWicTvBSpanMSuZSIZNAZiZh0aqV/Pmm2/nOT/7AZ7/ya9w//vzx7x7nijs3ct+SMov7odowGMFK4bzEI5ARD7OQnH4kuji4v99Tq1aJxPRYpyyZ4i5I2D316TyNwCZ4JsD6LWAD3Lucn9HWGlJqCcl82EyrJda0VGsNakKqxcQag3GTKsW0optndBma9TTfRmxw+c16mOHJsygVC7S25PUobXoxXT3w4KMrufLaO7j59kdYuykVmR1SaJrt+NKenM0IAROlIH7kKBDYPM/H5cZnRaiTSzRG5yn71tDW0kqohclTJ1XxZcWmfm6/fx6XX303d96/kL5qgJ9rI5JxzmS0MsdIec00oVrOCDmD5FKMjJrHHtPGcdKR+3LoPtMZOyxUHLQs/lZIpEuZl8MvtKm3v36MMX+9eQ45+xzqvmCrNjRJsVZdvILYK+ZJuJ2rGmull6fKY0u7uO/RpazvrWDzlrCQaBISkjjFJHlSxVSieoo8Xk2A3QxNWCKkDngSh83IxIUBYcDzxeasjqfApJVnFmqr50tQUycAXorVVmbsqDz7zxrN/tOHMcQvyzvuI8kaZH6Kl4vxvBqByjv4Sh08bPPHGIsRwEho9J09PdCl1yoJnjK+PD9Pd8YYMs+QeJY0GEY5GcfC1e3cdF+Vn/9lPl/9xS1c8MOr+NT3buDc793BF35xPxdfPY9rH97I3HUZGxqWqtpyNBsqarEXLy9+FlLSXAMj2CDBemA0H0axFSuDpSpkRoToGV6IMZA3CS3aWuRDX4VDmTQZvHKDXsUzarElaiQgg5ZXWzkFgBsEbOvKNGORkULZCkEJAm1horpH0shB7FFUMmKwx6BCTBb59EcFHlha5pIbH+aPtyxg+QY0noDUlOmvqJ3Moyph6uqJqDV8jA3xA58wZzVXhkxe0FakyifyQhxipZHmL8GoLQZGKvqcPFLCmoL4Aq3a1hZ1QhVKllPJ4fw1CTfcv5Y/376EOx7fwIpqRlXn6A0vbvK1mG/DzzJ8Y9SGDzJCYdhKqdCG275G5W4mju7k9SfN5NhDJjJhTEDo18nQnElA3OJobR3fxhhjngTP02Wfp3ZeUM1Y44GxMiCZhDWmUauLcRqqnq3vTnh8wSo2bOwjjlM0NzQvA0Y/VmWs6lsZMXRlAnrOluuv90ZPHJQM8DGq69rz/ED0pDTqsWhK3FO51ik2rTFu1CBtO/Zn5ynDGNZmmDCmk862nGhrypXu5QAAEABJREFU0F/po79WJjOuJVTvuYGnXEb5p0K3uA7EAnzfEoY5raQyyBL07r46i5at577ZC7jxlkf47eUP8sNf3ss3f3QzX/7ONXz1ezfyv5fcx5U3r+CRhSmrN7VRrumUKsqRJoI8JLBqPpXgN4jrder9dbI0IdNPCjgoaZaReirdfIcUtlaNqDcXBauHDpnSzZ/UbE4H+pbTo/qZkFCp1NRvqvFJ2QIf66V4MvSh83pzeRkfuF3bmN/86VoeeHwRm2T4+hvQr0MC52UWSx5Gi4knBS1p25bL54nlAblfe2g0YrWdoSE9Cd099Xbz84GI3fLO80KM8SWnCY2oSqYFqaU1x4gRQ7QNDLXt6uOmu+dz/R3zeXT+Bnp0sOIHrfha4GLJWSLk8DS+TLInAyKjGfolfBnsRNvsvFdn+uROjj5sKnvuNpHRCj4XAnBel74xKskWGCvjtYWu5zOxz2djL5S2MrmNNJFqe5+g8AGxJqI/cfv5tcxZsJ6evoaEBlK9TJ0ES8iNsTjD43kW3/cwxrCty5UYCE3J06pnTSBBsrr1SNKUJKpBo0xHLuOAXadwyO6TmTAMRg+CqeMHMX5sO+0tgYQhJZP2GCyZrOW2wDO4jDRiINRrvYq1rCOKerHyRnIyRPl8K0HQhrGtJFkrG/qLLFzj8cD8KtffvZbfX7uA/730Ib7xs7v4/A9v5cIf3Mafr5vPnLk9rN/gU63kqddyJI2AQAY+r1W6WMgwIsSNqUl2hvgjKHX3Lsn0JEmgXx6QQ+zmyZOWGJ80c2aKZurKDwSr8oWgg1KuQ16it3mefTSWOrG8UxtkBNra1HLtPCD5uPTqW7nmtgdYubGM0XbGymvALyKGECfii06RQtWRu0SimGHg+eSCAlmihS/OMMY0oS99lGcL9ByHgYjd8i7RWFNjsVoMAvErX/QptZUodHawSeJzx0Pz+cvNc7j74TWs2pARx0VJeVEej0yM6voZWuAMmbbXxhjQs7gWU+vuxY/LzJzYziuPm8krjt+RHScNpSUPxmmKyoZeHs/oASHIcKG2+Bdc9l/Q5n+8SatJ8yXknmfwfIMfhM6hZPXGiAfmLGPxyirVmoYud3Qzcz1A9/rWDCAJ3Qy2fVlNzMDIJKAxSZqoC0NOJy2BaCKu0J5P2H36SA7fZypjhpZI6xVK+ZipEzs5eN/pTJ8ynLZ8qq1XXYIUNWVA3T1tum1qaQ5vYHqhoK1Pq/YkhZxPIGNMZmSoIZEgptoQuX+saMIQFAjNcuKt+NsrXq7qj3l4xUZukJd06c0P8KXv/4XPf/PPfPsnt/C7v8xVnGIdC1dE9FQ9MgIykyNrUiQZf4px1V3T2LoUXXECPb01euUxJVJwK88g0xzrsbwmozYylRr4Y9VPmOUoKDAeeh5WTIiTGnHaICwUaOscrJ1YiQfn9/OrS2/n1rsXUk9KUv52jLY/vp8nF+ZkZHzxRFNJpOexpCYhbqiduIbRs2bMxc31FnKky3quG7MFLmnm3ZduBvgY6yFCNb4Uly2UCoQykut7Y269bxm/vuIB5i7tpp4VKLQMIpT3Fkd1EiGvucvLM2vEDcWCwNMcZRprrbJBW+9upo1v48TDd+bEQ2cyqdMjbxNSLYqZ4nSBjHWguTFN42OaFGbN7+f/yz7/Tf7nW/SNxQ0sVRDOKX5mLX0KNi9ctpbZc5awpjuV4MrCezmsDbHGE9ESZO0BXIAzUWAz1sRlmnq9GPBjNDPbQiJBR56EF2QYLwZbp1RM2VnG59hDd5bH00ZLSw5P+2ySPkYOK3DIfjM54Yi92XeXyYztzNPi3klJpZnSy+wfQk8HpNW9bNKqjBkI8gqzCAlkhttaxLGULM2Q47aZI9qeejbF1zakqXRZ0nyeWZ/U5mnIGJWjgBWVEncvrvH7m57g+7+9i+/+8lZ+eund/OWmBTy8qMrGiiFJxXeNKxNEEm58zawG41L3PNG89GoL2C8DFCcWoznDqC8VSB2aFQf+ykR83KhQr/cTNcoaS51YQX4/DBXw7lA+5FEdXV9++YPcefdy+spFPG8waSxDGWeavgaJ6lrFXor5Vj3P5O2khIFH4CMZisjlMgYNyuNOMI0xGCNgwKVPBUY/bPNKJaWJeOsOSBJ59BlWhjjm7vuWcPk1j3Hngz306lTQSqZ8P8IoxpVKflIqEEQkQaJcnYZiSY04Jkp6GTI0Zf99x/DSY2Zx2N7TmTi4g5zmV5ZYi5whlOHxNH+4edGca+0h1U+s/rdJ8D9RwP4TdV7wVRIxO5Elt9YQyPLHYuT6jd3aDixkwZLVxAp+er4U3vOxUhpjPZxIOGFPJWCpVrBUUu/u//nBZqoqIZVqZtTxnZB6UI8qJEmFQZ05Zu00nr12mUhBQb/+alkrWCAhqUs5agwbEnDUIVN41UsOZe+ZExnS6ovGRG0KolEZfZzyoh6aWSTjYKTDOGSkWdZ8lzXvVda9VJ5mqoJPkxpj8WxIIB7ldMybyxVwq78vZbPOIzKZVtmYRO58FmV4mU/oFcjn2inmO5V2EITtJLnB1IJOupMWlm5IueOhlVxy+e18++I/KX50DX+4bg7ru8o0pOCJiHT0ostR5gxRE7rX9OFOv1x8xeWNtThkaFuq96qq74E/VrKQV4zHk+cja4Ix6eYKxtOcwJLl67jrzkeZPXsZpB0M7thBBkZbxsgQ+gGhtZikTr3ST7mvSppYlbPU5f0YYkaN6GTa1B0YP2E4rW0Fte2oclDWfVzWweWfISqSiYa8kiCwhJLjRpSyWIvoLXc8ygMPr9BJ3RCcrFcrm6iUN2ix6MUFjI0XUU9Fq+htuHFK3muVCoaytlqdHHnYTA4+YDpjR7Sg8Bc0AjyrMWqurdG4RF+s+GgsHcp0aKKBY2Tk9Ph5/2zu7Xlv9j/ToDMYDtYYfOthjERDglKp+qxZbbn7riUKQKLVrk6SSdGdy2xi0CRJvuRaa6JllPJeQN53k+Jh9cJY02zLmM0pT7lSm5DJO3FI1VZqIhwSCWWi9h2y0MedfGSRJavUGdWe48j9duSIfSYwoj1mREtGh1dXqylBoQN9a48eM7YEx+/Ryqmvn867XzWJg3fzmTy0QiHZhFet4en0xcvyWOODPpmv3kRDQ652XR5cnCUgmn2NyXP80HKWNVc20ZFa0JZqK4wa2IoEK3ozImm7M95pkkgZE8lhilXeE0LPIwgDrGdl6NSv3P56rYJDHDXE0hhfdIQaTV4uQr6lFa+lkz7Tzhyd3PzhziV867f3cPb3b+Gn1y9gzuoK/TJEzvBTV19SNjmNiPU0Ghlr10nhZLwztZlqgfGM1RyFeMbThGZs69IIqCQxNZ2ieVY8jvN4VtTJSJflHXf1Zazvh65GRCVL6ZXyaxAEir9EjQaRFNJ4eQwhmWhLjUdVbqK1NaaMzXPCwdN5ySGzGDW4KM+xIp5IDqS8MtVqRhwVLxWzFk+MYDGZ2RbJFAsFio7H8j4aoqGnBqsqHvM3VqhaS5BPFbeRwQ/ayRdK5EotGL+kg44C1Irk4wL5eiYPZwPD8hWO3m0HXn/4LA6dMZLRpYS8l4AHaLvmPC2HVPOVadnyA0sQaH4lW8rhmzz/isv+Kxr9T7dpnFEwjaYJcH+ndsXaPm6/5xFWrumT8clhbBEkQPw7LulG1rAK+dTJtFoO68iz+84T2G/vGUyZPIx83lDXKifdJa5BIiPlmQCkBPqitegxY8exvPakw7jg9NfwobccwUsPncKMCXkGtdQkP/06Bq7Q11+VokJLroVSWKSgFbNgDQUJWd7WdYRbIU8/vqJh/JuuMMywnlPeCvVGlcwYclKUINdKb3/KwiXruOKqu/jpL6/jL1fPYe7COpv6cvQ1DLHKGhmuRHxoJCnleoOaDE+KabbjFhpkPOy/aSxbu/GCvBR9sJQzr/msMrwj4PjD9+Q4Kfb4US14aa88kcrW4s8xdaMbGM6wpioSq6eaDHhD22dkWIOwhB/mCfyQLFrLTtOGctThezT/rtLYMe20lkICZxGdlW+6QWrgP/AR6f+BXv/FXaYkJPJqYlnv3rphwYqeZvB5U39GKkueNlf+fzERW5o3xmqVaiWVxxJmZSaPbWXvXccybdIgWovg+VqA8iWKCiJ6XglrgqbQBNZDkizPo67VMqLkN5g63HLiwZM57Z1H8pH3HsObX70Xh+0/jpmT2hTEDgm9SFuabjb199FXq1OVp+J+Ua2SIKVO6K7HVLTfTw3iw9Mj4/m5GjI6jXqFSEfIUVQn0T7LeAXy8oRa2odSbB0GwRDmL67y+z/N4deXPcQDc7uoylRmuRwxKUb8qETQW25QriUkWBBPnQFKZZwgE39S/l2XkeeB6LJphanj2nnlMbtzzP5TmDQKHRaU2bR+Db29PfwNj61q/B3Ps2dMsCry9NDUYiRE1gZY8cqTzHsYUvE+rvfi2yr77TaSlxy+E/vvMV4emsXGEXG9TKwVL1YczHk+z5icvyv4XG/FmufaxAuvvuKNpATUEo+V66s8NHcly5U2yDUFOJZrnEpw/y2UZxlxtR8/qzJ1wmCOPGh6UxBGDjEyLpG2LLEUM2xSE2uL0IgiUhkJT0oWWl/1NEVRQqatAdpWFcOE8aPyHLLvSN71+l04+4NH8clTjuW0Nx3Aa4+ezn67Dmfa+GLTO0oaG+nrX4/7XaIYi19sxc8XySTP/x/gyefKPi8fT15mXvGjYqGFIMxr2wt1eTGRJiiV0mRy8XPt7ZSG7KDtT4Eb7lrGn254UCdRy+iu1TRXnubRp9pI6JGHV6411Ib4oXZT8TVTO7qDpiF6XkjeZiNJo5+ktobhbRFHHzCZ15+wFzN2KGEaMbVqVTLny3AGOAPzN9jKc/Xgnit5Bh9VkjFhAPiSc8/9rWuFGgItrHkZyDBrYJNeOkt1dpk6iLe85lCOOWQm44b5Mu0pnoyOpzZ9eUqeF2CMx3/qas7ff6rzf1W/xoRg8pQrMG/hGu55YC4be+uKyBhiE4E8BWP+XatmBlotRyvgt//e09hn98kMHeRrharJ0MT4noTX0as4kh9AEBhSBcFj7fmlbVgrj8jFHhTrKddVT2WNSQhtPy1+H5OG1Dh0VitvPmYyH3vz3nzhlIM5/+QDOOP1e/HW42Zw7B6jmbVDKyMVZyqKDqsTOVFE0wABzbxLzd/m9eg5fxr1VCttJvvgYYwvKLWGxGQyKhW6+2Qgo17FUlIiW2SDPNQHH1+i4/oHWbJ6NQlW20tQrJuy+5fwMsQphsxYFFLB0U7ze3PuORP8DBrIh5k8nxbcP9I96ajdmDQiRy6oU3Z/PmVTv7zOEpniME3+Op5uhdp2VG59rmHoyTY+zcJWQ3x6SDpAgfJYbmIqA+1rESvYiEGlmF2nD+O1rziAfXaVzLWF8tDAF+/zfo7Qy4EMV5pYzY/dBiH/utf/uZ6fZkzOtR4ISDlRUA6JZ6b1MW0iUWux5rSBSap4WY0silm1sshnDS8AABAASURBVF+nBauZt7RCf5IXvwPpdIyvGJEKq6bmQDXTpwES7oFoce+cAcmyHJnxwddk2ozMpni+wRhDTcEd91+WHLz7OA7ZZRSdfpVl85ewYOFG+qsFMs/TSBwFBndZrWCe2vECiwYCzlCqPSPBz3SKU5PxqWrllz6KDUavU/J61lqAMYMsu43Pc8zeY3nnK/bh4+89nnM/9FLOfN+RfODN+/COV8zkhENGs9uUAmM7DEV5EXFfSt+mRIFLD1/eil/0yfyMSNyJUGo2I1aq+C1bkRq2eXkam5igVtzcRPhejKfYnJfWydmMtlwejxC5D9iwjyyo0N1fYfHifpYtqcr4ZKpbZYVWkm4Fih0rcpr/0ERYLyUW56I4I+cXRS0DIsO9Nyrj4PKCxpQ2ISkSD1VELPexxuJrDoyf6oSuqvhVWXyOKfg+U3bo4KSjp/JKGZ9po9plYCsksoZV69ErL7WmWFWmmJVVh5uRYcVnK1o3I8aKcvXOtq5Moxdlze9MlLs6Rt6efQrcP8mQ9MmgGNHRoL/ShbH97Dx1KC89YibH7TuWoa0hgcZnssRNB0jGUmNxY2/SoPaMMXpnNt+KXifbDqlkzcHlmy+f5y9J+fPc4r+6OTEHMQxNC6T6TsX4mKhRl1ch70bCIC+f1et6eGzeMhYr0FmPLEbupmSiyWQnYE1Wu68B4MpvazhVud2ZMXgK9hkr5TUeusNTGght2vLst8cUDt53BjMVTA5twKOPLec3f7iD//31Tfzx+nncN3cDq3ti1pdTNtUyygnUNI66DG0jqWjb0idFqOBLA9UDoTXkgoCCEEiQ0KqHYiwuNdbi+4ZS3jKsw2P6+BYO3n2sFGYW73jVwZyqIPbH3nUEZ7zzMN7z+j056YhJ7LpjCx25KlR7sFIixa2RzcOK19JzHNy9S7fCAGzjsp6H9Sxij5BhNFtGc+aUyNNd6Fy+NKRRS6krPhXJwyn3x6xfW2bd2grl/kTPI3rKdeqNVL1ZrL6Na0eGIxMRbitGs4PmC9CzfwjcteXllsQ9QW1tRaqteawFzHmgFVn4RNY2DKTecR2b9jNhTBH396kP3ncmY0bkCDxoBnklW92icf3GXm3DIkxmn0LC1nFn6ibTc4e0mW7u/+m/MzK9dN+bUzQfakQf3bu84GJ6DfE0dktGVqGtzbLrzuM5WoHx/XbfkcEt4Fuw4pGxBpQ6vtHMGnTbBNu4MvW1jSL/1GuR9k/V+49Vkl5qAtS95sAJYuaUVManJo8n0h4403alP84xd8lG7p49j6Ur1mMlIIGEPVVQ1kpBU02sqquR5/4xJibVcWzV/dsmHXla8gS2gBZ7iupn4tB2XnXiXuy5yxia/5NArkRvLeTOh9fxw9/dx1d+cjtfvPhWPvuda/jaT2/jV1c8yg33ruXRJTVWdvt0N1qoZe0ktg1DDlJfJ2VGK28qm5PI6MpaNZlikJThfhUgSWs6Nu4njfoxSZmSV2FoqcbYzgbThqfsv2PIifsP5q0nTeDUd+7GB9+xD0fsN5YRrRZfbryVsrsDkqaxEaOa+b9Lpf88H1cuaIM0L+RktEukSU6GJ6Oq7VjqfglQnmt/X1WGSONsao4HSjNxwzgC9JU1x+9uniOcZxw2CPKeDEsOZIB8des8iN2mD+GEI6dw7OE7MnncIC0CkCjQaz3RIy+uVs3o65XxSXOEvuo+R1KeafU0CIk8Q2JqDO407LfHDrzsuD05dL9pDNNW31Bls5ExSp8bnilNz6acfTaFXwhlneAlEkDIRE4mrwB5Az6h3Hm0hYgkECu7Ex5Z1MW8JZvo1ooaBkUZhUASk6qOErntz5dFlz3TaUJEnIgeG4gqS1SrQtTLuCEhh+8zmX13HcmQ1kQKFhOGIYOHjSPXPo51lSIPL6lw/QOrufS6Ffz0D3P56o/u5PyvXcW5X/wLn/natXzjR3dx8W8f43dXLOS62xdz+4NreXxpg9U9ebqjIn1Zib6kRG+jSE8jp/uAsgmoW5+6eBHLG4pkSRroJ6uCvKicvLVCLqCtNc+I4a0MF9rbcvgeJPJCUm0h0GWEp/sM9G5rHcfjbQEMxnpYB2Ox8hp9PyAIQhxvIy0s3V1lbWUTMhlfgw9aaDbXU11xPNPWgufhykSLO/6PScm7f2YSVXSAsJ7pEzp4+TGzOOaA8Ywf5hFmEe5AAF2pvB0nVbH2pLVqnbqQxO6JXv4bPonGHkd9dBRi9t5pBC8/cieO2HscI9pTosomMnlvYti/gZJ/rgv7z1X7z9VqCqoUiyxDyyVOoXzd+1KqWgQbFNO4//Hl3P/YCtZ0NYi1ImUSWKdYzZVS1eJEwuzq89wvIwXwpOw5GT/PC5pbQUOFiWNbOOawabziJbvI8zHkw7rc+CqhjEFrS4lSqUQuH5JvKeBL2JOwQM3k6Kp7LNnQ4L4nurj67qX86so5fPfX98pTuo3Pfv96zvvW1Zz9lcs584uX8vGvXMGnv30jX7j4dr5xyd388PcP8os/zOdXly/kN1cs5ffXruTS69dw2Y3ruOzm9Vx68zp+d8MafnnlMv730vn8z88e4PP/cwNf++F1XHvHfFYrUJ+Iliz0tKIyIMTGZ8C8TNMkiEeufDMnvj/VKNUaPVhPvPEiEm0hrN+gozPHoCFFZIeo1rt0rF3RNi3BGR5jPLUGBjBG3yaTBxrzfFxZ5stzLCiO0qBW76a1vcHOMzo47MCJ7LfbDowbmqfFJOQlTzkCCpozRI8O6ShXKvT2dVGr9ZKlEsTng6Bn0Iat9TG2Pc+R2ua/8tBZHDRzJCOKMUHcL0/M4PkF8ckK5jmDf8Fl/9k2/2P1DGKkyHYSre0XW65EaW+5yqq1G3n4sYXMXbiS7v6ISFH+Wj2h0QwOukpGAuygCs/Dp5AvNFfrJMkkhP24f2oxdEgLe++5IwcfOI2pkzx5FhG+TbEK7uZzHqViQD6PVvu6wjZ9VGubsGE/fqGOX1K5Fo+04FPxfDZEGSvlxS3pTnlifZ45KzLuntfHtfet5I83z+eSqx/kp3+5jx//8V7+97f38YOfPMj3/nc23/zBPXz1e3fzle/ezZeFL33/Pr78g9l842f3861f3sPXf3I33/3VQzJUi7l9drfiTwX12UFdp3B1bUW0+3A7kKeFFvxtcy/bUkTpZqODeL8ZW96AiSi2+JRaLKH7zd5WnxEjOxk1ehCt7cg4xVLqBnHTa3Xz7mAAox+al2xaM31mXyLmHxY06isnD3WI5iUkVuxt3PhWjj5mdw45YAZjh7dRCi2BFhlnmRvVGCd+BmQAoRHVyOQZtcmTLJVCPf0XfFxnf9fsIMmJ+6c6Lz/qAI6Qt+220XHvBhFUI6f4VUMe7bPjz9918C++1Wz+i3t4Ns1LNozE6kkY5YSsCU20gXraoBpXidKUzPrNSa+nfSQS7ariBbfcuYw7Zi/fvJqHBluQafLqeFLm0C8SGA8t8vhqa/MpBTxdGmRy+AUrmpSQmM00qCusDI4npdhQTbX9iYjjHlqDbnYeZ3D/68OJB09gp3EFwqSKlzRUJUcjKZJ5htaipSOsUZLyFUwbeW80akBIpI8WLwoJkhy5LKBgPUo6ASv4EV5aF92plMAj1LbS81u0WWiV0SvRX8uzoWJ0YlRmebmfFTpNWtHTz7KuXpYqOLp0XTdL1naxcG0/S7VF3RT7VE1A6vuEuZxc9ZS43MBveARYGcwEzwom1tYxFTI9TZ/klclSOZ/JgPDEN09bFDSODPXhkOXVToin50Gaka+2E20y9GzsImd72HVayOH7dDJlrI8cVXriFhYsXYcJSyTiReoZjIwkoitT0NgzltAPcbEaPwU5mFilNgMjoMslqTVE1tKnWF2UpFo0fI3PiMIUz7N4fkCWVokrC8jHK9h7YgtvP3ZfXnPI7kzVaZfV0XYlrmkjGxPbBvh92JxOx7StjRsxtXrAxt6UdTpBqMQW47aLqbcl9ZuplYe1+bnuNX5H40AwWYKL56VeA6OFKS1E9CddlKvr8eIybSScsNdIXn/Ujuwxs4NSK6Q5S9jRTiAv29GV05jRXKXSF4fNC0GGS8Wa//jH/scp2AYBmxmVPVkq9Cx536IpJKmlNCoZgW2nFllmz17Agw8vpKu7Cs0SnlIjgJE0yo7RvJrNbX7evH8OX00lkqDkswbjhrdzxIF7cMIxBzNj2iiCUJrgCVJpMLj+HQIdsRcKIaG2OhIZmpeEEykqGMAR+FToWaaxNMv4ev2PYYyPL4MyEKwFY6KBIcFWjzwJkSL20QQ0n2/+VmMyJzwN6kmZWtYnha3g/nW2zaVY8cQ4npiElIg07SNL+xnSmWePWVM4XPzbY5epDO1oBZ3uxfUaca2ufIqvVcAFxK0Ml0nVayYARvd6tZlrBhyBesXWZ+hyZXKyaO25PCVtl3WaT6Uqha7ElCuR8g1cULkjV2Hm5MG87Nj9OGz/aQySZ2bk3YSiN1DbbntljMEPcyA3MGpk1CWH5f6aPNkGTl6t3qvLAT+OPlV3TTwtPA02DGQYE59qryWpFGjxB8mMWwa3phx28GSOPGJnpk0bRmsr6jsWP+tKU7FODHLzYkLRIcL1/UL82BciUVtpcpPZzGu2XN7BOOXQymckZb5fwvc65P4GPDJnPVdf/xCP6Ei7v+xhtNLiFFblnPHBSaxgNClOUdFznoerQJ2OIGKnCUM4+oDpHCY3eNLYPM4L9yS0rgtjAvXmuSxasMkXPNo7ChRdIdG0WVMK4AxQtrkcOAFycNUMGR6Z8QcEem9lYQaEQbSk20BG09hkKusAKr8F7r4JNfTXp/AP8l5QwA9a5F2UsDavEiGexmhTHy/1ZFB8Qq+bSTvkOOrgabziuL05dN/pjBvRhlP4Rj2ip6dKtVwhjWM8YwUDMjgIRi1aAdGjD1sNToq4ZwSl7llT0UnJGvLwVN7I+0BzEuRL5ItFwlxAIKPY2QJ7zxjEa1+yN8ccPBOtJ7SEMYVchm8dwLMeRjFHz5NiS76MV8QqH2s82u1QVR/1JKLZpxENTwNHl8gb8FNvVBU6qItXIXnT2vSMPYUTxg9r5dB9JujkchSzdhrGsCGe6JORTmuS7syNkDS1MkQWjMAL93rhUec2rFshvjmjk6EfPXN5ZIAwsXuCE7RyBI8+0cufr5uto+0VrOkPiLMWTUJOCDCaAGM0KVJ0o1rGGAwe6Jvn4bK19YzpzDhyvymcdOSu7D6tg44c6iFRDzIaaSihkLDqiTEGa6FQ9GWAijJAWt3ceFSSNC9pdeVUwACidzMycNLqnlmNeCCojtgkwVMVV+0fAD0zam8gWL23KjcQRKA6Ea1OmZ8GibZzNgllTPJSIkskQ9K3cR3V7rU6SaowtDXgJAXq3/bKvXnzSXtx6J6jGdkONq6ITx42KFBOi/TVajTksqTaNyfW4H4pMtJYpWOknsH9ZnVT4QGR/rfY8swYg+f5pCrg/lFrXd5VqphNEvVDo0sHmw2sAAAQAElEQVSeRZlpO7Ry3BGzOPqwXRg1GOKG3pkGmjpQfbcAGOvmzEj2rNoKRCfynqCvr0GcZEQylA7q5m/pMH9HG7rfBgKvgGdykh+DlYdttc1vL9Q4YPdxvEpH7QfsOoJBrR5eFmO1xQpMIEOUwxDi2RCMaJTXp6nkhXrZFyphjq7NBkcT5bTKPRBSEk1spr14xrruuozPOi6/7nad4jzIhqql6rVJQAuqFKi0r8nQzOujjOZDGX3g+Rv2nrPG8/KX7M+xh81iypicBDkhyGp4aQapLxoCde0ptRgDkgltzYyMT0hOK68KASorzwBtG2nSpnuJePO53oLBXZliMgPB8SaRwA2ETJpq0kC27emBMyiuwwGxmaaBiljFVEh6IN4ofmyklOtlh1Gw357DeOVJu/CedxzCu15/MC89ZBo7j88xtJCSMxWMDIMWelZuinlw3kp6a1X5mamMjSWRwYlMpjlWs3Yz3H2TRSLJca6p/CKsmW55lhqj+h6xt7mNTNubNKuLxf0MacvYb9ZYbbv25sD9d6az3VdzGblQHWge3O+P1WO0YfR15wkZYjOZ2nS7w4WLVrJw4RJt5eStuF8f0Db4b+hwtPw9RFe6DVhTJKc4n6fxWvoYPcrnqMNncMKxu7PTjsPloQXkrY9nckIBQw40t0iOrBcQhIGMpAjHUSMCXoAf+++kyRmUgYCsOE5xRZSzOanyqTLGMVBWPomqxNUGSezTH+V4eEWZX98ynz/dtZoVfZoABZnzXgOrgGGqldIhMZbEeIIllnI3YXAtqpfNHzc9T6Wr2a/rmxpajsnkcmfa7tmwFaNV1KT9tOX6mDEu4O0vm94MOu8o4WgJwRO9SIGTdHMfxkCaaBXNUjz9mARMYiiEeUqlPJlpUIt7aNg6DcVm6ialLprrEqya3P2axlGTsjT8lNSrP4nMb7AVKI8f6T5G8U8SC4kUNZXHkPqWTDEnQhnB0Cf1PZVxED+sVTlBZVIFOFKVy4TUc+89ItEQabwODT+goa1GQzGJRlPJ2vBth4xFkTT2SKOYTIcDNisT2jLFoMyIwRnjRvrMnFDiiL3H8I6X78GZ7z6aj7/3WN77un145ZET2XGCz6D2Kp7XR1/URbd40+sNYkW3x133PMEt195NT1eReqVITQHeer9koNLA2TbFYWnoWVJPiRTHcXD/JiqRW+yQKnXIlCaqU4mqdPdv0pZdcSkd/6e1DYxuNxy+50RefeRuHLn7JMa2F8nrGN0ormdsIGMTSiR9PONpy4hUO9ECkzXvdbDK4pUR9z6yQoZyDas2VHQ4IuOVeqIvJhVNaVVzVq2RVisk1bLQJ/SSVKo42gZCRfGvrvIGqvW1DB+ScNA+Yzjm0KlMn9xJQVtDK+qQjGCshApkgTYDXcbB4mnejN4bYzDmb6ES//GPKP+P0/BXAqwBKYP0V6xNkXRjbYZnwddXXhY9zLXTXc5x3yMr+dOND3DNHY8xb2U/9ayoQiHWJBjVzkwm5XaADAezJXV5PXjqxxXYcr85674znVqBW4nrUUpNAlTr78I0uhnRAQfvMY63vGp/9tx5DKOGFigEKdJ3PCms9QLQZDv6RYEC5A229ir9lnLCYFmr0Z0BI1oTOsMypr4eW9+EJ8XwG2XFbBuEcudDGeWcjGFOihkkRZ2OCXFB5XIqH2JqAVnVFzyyuofRD5lBLEA6RKa6qbYG7pfjkjjRvcHTjxWMGJ3pXarxxVri3f/fVdd2J6o1FPhNFOSPSGTwU/fPTSpl0kqflKZX6NbzNWTRKkKzjo5CL6MHR0wfl2OfGZ0csdcojt1/PG97xT584M2Hcdo7juLUtx/Fu153AC87ahp7zRzKGBmnUtBLwQdfxAZY8tpyeX6ePhmL5cvXsG7lcgppjck6hZo2tpWpY/JMHR0wXZ7mDOWnjSkwTfnp4/I6fSz9DXYZV2KXHZ4C3Tsva9poy46jPLURsLNOuvbZaRQH7DaR3aePZvTQUEYmET2If5o5x0fRZWWIPWuxZJrSVDyMqYlPq1Zv4PHHH2XDuhUMbvOZNmEw08e3M139zpzQIsPbwozxT0VJ95uxk6NnG9hJC9zOE0L2mdnJkftP4MgDdmS36SMY1u6R10JiZCCRnGWiCyOanwrdoofGWIwxT4IX2GVfSPRE8h6q8hScCcEzYDTZeoab+sxDesGCNTWuuHMRP/3DbfzlhgdZtqaf1BawfoFEClXWshTFEc7cDASewWVl7PLFDvKBxY97aWETM8YEvOyI6bz5VXtzwhETGDFiqDyZEsYYYhmMRL6586as3cxa58EFuQKZ8dh6teaRkHZw4oHTOeXVB/IRKempb9iPU167F+88aVfecPQMXnbARI7dfTSHTh/K/lrx9hjXyYzRg5g2soMpw9uYNLSF8YMKjG0PGdXiMaJoGF7KGFZKGNqSMKQYM7jQoDNXpyOo0u5XaPPKtJge8nRRNN20eL205yoMKlYZ2hY3DeuoQbCDgpoTh3tMHRVKqYvsObmNg6Z3cvSsYZywxwhO2nsUrz12rAzwBN75ummc8pZZnPGu/Tj7fYdy3geP5vwPvYRPn3IM7375rrzysIkcOmso0+QhDhYtoU7GbNKPb2JyjiVRQKqtcyJn04stOc1h0aSMGpTj8P2m88F3v5xzPnAYn/jAoXzygw6H8Ul3/0GlwieU/6TenXvKIQyE81TmwlOP4aLTjufzpx7P5047iU+f+nLe96bDOGTfiQwf6uE8Z7ZxJZLPmIQgDx0yOhN3aOO4Q2dw+juP4fxTT+KT7z2Kj7/nMD5xyhHCkaL7qC04WvcOxyo9jk/q/UD0unef+eARfO5DR3POyYfxthN344CdhjO0BCjIXde2tFapkWiB0ZMX7ce+kCg38oA8Y8g0wWnS0OlHVauNRywD1C0hfWxxL5ddN4efXn4/tzywgnU6miy2Dqe9fQie9TSUDOtZ5Q1WgjIQXC9s47KeoVrpVvB0PaOkoIfvPoY3Hr8HrzluD/baaQTtcoNVhFReSr1eb66KDZ2COANkjNncegaeJ+9Ed6lGlspABV7GDiNaOGLfqbztZfvyoTftzZnv3o+z3ncA50iRPvGhw/nUaUfz6TOO4zMfPYHPfuylnP/RYznzA3vzsQ/sxUfetwenv3tXPvSunfnA22dyyttm8L63TJMy7cT73rgH73vD7rzvjQ6b8+/V/Vac/PpdZTR2ljeyCye/YRbveeOuvPdNe/D+Nwtv3YNT3ronH3z7Xnz4nftyxsn7c+Z7DhJNh3LuqUdy/hlHc+HHjuPzZx2v/HGc876jOOMdh3Lya/fhFUftyCG7DWPmDgFj2itSlDItXkRBbli+iUyGz1eUooBPi9aWFkjbMAqW+mFBsY6Ctq8+XmpoK+SYOKaTPRWXOWS/SRy330hhBMfuuxUjOXafURyz98gmjt57BIfvOWRAHLb7UA7eRdh5EPtMKbH35CL7TO2UF9QhYxdSCBKteQnbumIFw2tRg0zyNWhQkVkzxnDo3pM5bO8dOHyvoaJrKEfvO5RD9xqyGXsqr5jXoXsO59A9R2yGjPhhewxn2zQP4/DdR3LgLsO1YJXoLMRYGW+TNvADn3ypBWs9XsyXfSERbzSpllgCmhJYn9Ziu5TbsnIdXHP7En70uzv5/dWP8PiiPmpJK2FukATZxyj+4KcJOa2cbXlfwmwxUvaB8EzGbZIeQrqYPDLghINn8JaTDuCYA2eww7AiXtaQmYxx7m8mL81ai6/go4MxBncZYyQgRmOQ6VEZdG98CYwMrZObXJjJC0iw8tg8KvhC3qvQmqvR2VpnaGfMyKEpo0ekTN7Bsu/O7RwwaxCH7jVcR/5jOfGwybzy2Bm87sRZvEnxlbe+fE/ecdIevPNlewp78a6X783Jr9iX97xqf97z6v1576sP4JTXH8QH33ww73/TQbz39fvzrlfvw9tfsQdvUhtvOH5nXnfsTF57zExedeQ0BYcnc9S+O7CfFGDnKW1MHB0yYggMaUtoMQ3yChbnmogVDDWE2j77YYAJQwhCEg1VTg2pZxFzkCVGDEFMgxgU1aWquEgUa4vqeCLeeIL1TLOYZzPSpK5yURNGfDJamKye2bROE5oHK6AA/YAwCZECc4HoKhXytBULtBYK5P2c2rEkjYw4yhj4gkDlC/lWfD/EGosnen0/Vf0+knqfxlbFo0ZgqgQupa7UISLIYiHRfYpnxIBt0Cx1IFM8yaiGtSEY8dbLKcmRaasfpalYmfFivuwLiXgrdnouABhFIKNS6a0w+8El/Oq31/HLS2/k1vuXsmRNlarc9jDfSah4QVyPZAwyxVWMBCmiUe3TVqgOamtgqMg2Pi2FhL12Gc8bXnEkb3rl0Ryw5w6M6CwQeqoog1NX/EQ56ZVHLpcjn88TBAFW73jKlUrBkuaxL6R6njgY0G4DPKUGvLSIlxXxTZHA5tVHToY0JK/2CmGg8YW0kKPV/BVtyrfZHM1U+VZ8SuqnlMYqmwgprVJindTS5hnafMHqmRShnZgmpATtKtPhQ0eQCVCSUQkbdcKorlhUpLhTiieivczHZCFGdPhK/SxQj4GGEEgZAzITqtVQdiVsql3kSbGlnLEXK6AdkcgjylxDfoz77d7M1vELBpvLcH9DyYVcEhnqmrzJSq1ClDYIcwHGCFJCBNc/6h/1bxAtW9JU4x8IifiU+monyJGpXqLAOS5a7ybB+JpDzZ1fYFtXM6YWZ6SCGlJxC9YjJ6NmA4+6jGQk/iOuoHYxHoj+JqyPK4vkI7MhA9Hr3sVqI0ottdin0vBQTJuG6M3EdYz69QQML+bLjeB5od95AQ5uO7IVSZKwFbInNGJDJEhHyOJU1l3v5bnUtY+tJFBJDH1xwCIFma9blPGNG9fy6d/N5TtXLOCOOb309ksxc+14OZ9IQYPUSEDDlFT5RiPCCaXvtRN6UkUTIm0gbahhBV99Y8hZKUwmgdBqZ9M+sqyXSMoWudXEy7vimtp+bbfK7DEh5eSXTOcDisucdPgkJo+DMFQfvlY2Hc/6Kpn3nMAOLADGqN9QdEv4fRX1xO2tMBIeIwG1XoCTJ2vAbnkvUZW60USoZ4EgucUYngTK4y6XOngyb7kMQiFQPtDYpexI8Z+Er3datTPPw62imZQkEw2ZxpNJmR3wcmpDkLIiA4jKW8F4BulaE3jQJNYodVBiha10qzZ5FcppBKEQCJ5g9Az1Zb0Qo/YDr4gng2L0bTQgX4Msypi35IvkRYenTpp6G4BLjQ9GfRvRgrV6KBivWdtT/aeDqpEzoMM+tHtBLEeVUPOb4YG79/RiK6w63ApjPIzg6Vno5lJAeYwFRxQBoS3SGrRRsC1YckIg+IIV+P/gYdTl00P2DK095EMoSuZK8t5yosEHcRD1qDYNGKMvXpyX/XeR7ZmE0HOI8aUQVspi1bvv+VhlUi1/PRWPRxZG/OGKh/jW9y7lf3/6J+6bPY++aoIJi8SacLdC0yIpPAAAEABJREFUGunQVrpVDcT/dAsSpVFappH0kWqFNTJQNu+BZtP9WYoaDapC7LWBPxhjC2Ra7dPKBlro0slJkTcctztnv/dlvPHlhzT/FfTIwb4mO8bI/Xf6a9W/J6gZGT1eQJcG75gxIF5A5G4n5f88B+y/iwNGVsOYWAoryOtBCpzIpe+pwoLlfdw5ewk/v/Ruvvida/jl5bO5/9ENdPVZLS5thLlW8OTWy9rIcfr/SH7S+FhwXrVzU6M0IM7yOiUoEEV56tq2RfKuMDk1lacRZbhTBPdbtyM7DAfvNop36Nj4tLcexhsVCzlwp0EMKdTJy8sKtKkIbKKVU8ZSKyRuLUvB6PiaF9xlRNHAMMZgzNNDDWz/bOfAv4UDUtl/Sz+kUtpEyt+weWqmwPpKwCOLy/z55if4wW9u54s/uJqLL72L++euZeWGiIQSORkeTy5nHMXaZiXylIxgMfAkMiDVAwfn/TjU9FVNPGLyYFuxpqj4pIeNIvyoSi6u0Jp1seNwOG7/8Zz8qn35wBsP5o0v3Z2DFOcZNTwEr0repIoWZFj1kcnpzYycX+Pu9MBAkLNIj3XzQvmIKDn1DAj7QiF2Ox3bOdDUrX8LG2qxYUVPxvyV5eYR+i/+fA/f+Ok1fOuXN/Hb65/gzvl11taKGAVyXXS/Uu2nrhMSoxOPUIFT33lQOsUwivwr+yTNcoqcM/WkEYqlX7I32JaUNNBmK9lE1FiDjdfSme9myqiEPaaGvOklMzn1zQfxwTcewBtPmMYBuw1m9BCZGa9CqiBts4NmjCenWFEgg+hpx+VRE8vqWab+Uul50iy2/Ws7B7Zz4J/jgNT1GVSUruHg3A2dDWYOUnt36x6nzYwBWYNECtrQVqthU2qex4aaZd6qGjfcs4wf/fo2vvrD67nwf67huz+/l2vvWMPiNT61rBO/OITEM/Q1NpKGOoHR0U2Qt2QYstRitV0LTQ5fpxnGBnoqb8QFlFMPI1jBE/zEJ58ZijIiLTIXQ/JVJg83HLTLEF571Ew+8LpDOesdJ/K+1x/IS3WMvfPEAoNKkLOJ2rZ4ajtTxCdSWxkZqUOG+kM+EHqDymmsW56z/drOgX89B/5re7DbHJlW+yzR6Y+MioIeYBqKrVR1NFimnta1zQG3/ZGNkIeQUtYWZ01XHw8vWM0VNz7CD35+PZ//xqV85bt/5PdX3MPNdz3B3MU9rO/K6C/78nIykloD6mWsYkPWlxek04SMvPoJ5Y344FRfBiGOoVqrU3P/tkY3RsedLoaTVbtxQWQ/6tLGrY8hfh87Dk44ZNZQ3nzi7nz4Xcfw0fe/hHe98VCOO2QGe8wcxqihOUr5VMYkxcigGhkta3yMkXEzHp71kS3FWJQXRIX3JAzWeFjrnrD92s6B7Rz4Jzlgt1nPqISfaL2PhASpK1jFSGQo6gr0buqPWL6pypzVXdygQPIv/zyH7/zsYb78/fv46sX387O/zOPmR7uYux5WVkK6aCGVtxO0DSbXUiIIfdxvBueM/A61Z6IWTFKCJK9UCp6ofxkaqMlQlAltjZagTltYY0ipxpjOmBk7WA7bbRCvPXoS73vtbnzutOP5ypmv4JPvPZJ3vWp3jjtwPLvu2MaoIZaWUh3fr8iwJDI2ZkCo5+2f7RzYzoF/IQe2bYAwoNOkNCsQKa0mObr6AxYvb3DPA+u5WvGbn/32Ic75ykOc+7WHufD78/nfy9Zx9d0NHlrisaw/zyZTpJxvpRp20C/vpjfL6E8j6oqsZDrPNqLCkGHkPZnKJoLaJoppL21+P0OLVUZ1Nhg3NGHCyJTdp7Zw+N6jOf7gibzu+Fmc8qZDOPuUEzn31JP42HuO4YNv3psTD5zMnpOHM21kB6NacrSqDy9BBswCOTzRYI2v/PbPdg5s58B/kgNOIwfsP9PbxOhLJd0R+IrVfdx21yP8+tJruPjnl/PzX1/DFdfcyxML19HTV6NY8Bk+xGf8KJ+pY0OmjvAY1xoxtlBhqgzJjMENdhoeMWtMyh7jDfvtmOfQnTs5ao9RnHjAWF5z9A684fhJvO1lUxWn2Z3T3rEfZ7//cM47/Tg++9ETufCjL+Uzp72Es959BO957d684uipHLz7SKaNLTBM/eSpKGbUwP2+UGYMxjNovwQGZOMgVZpafRmMGRgq9EL4bKdhOwf+azngNHEbg8vITJWMiMzGhMWUwSPambbzjhxy1MG84nWv5C1vfwXvfsvOfOT9e/PxD+4lozFdwd7JfPgNszj37Ydz0XtewYXvOolPveVALnrf0Xz9wy/lGx8+kS+cciwXvPtIPvPe4/jCh07koo+8lPM/9jLOkYE5XQbm5DfswxtO3JkTDp3AEXuP4KBdBzN9dMaotl55RTWGttXpKNQp+lVt1/pAx+ueScj8hCiIafgRDRsRC4mJZHscavK73HgStl/bObCdA/9ZDmzTAMlHwNfWy9MpVCGzjOto5aAZY3jNIVN41/GTefdLRvHu40bwwROn8fbDJ/DGQ8bz1qOn89aX7MJrj5nKiYeN5eiDh3HcoaM46bBJ2j6NZO+Zncya1s6snTrZaWYHkybnGD4qpbM9ZVCY0Sm0B9DiGfKeVdzHxzMBhhDrt2D8NtI0twV5GZYiXtChd+3KlxSyzpF33zol8wWbetp+eeK0YEKMTtLAkmkrOBCMMRhjVO+/6zPQmN27/67Rbh/NC5kD9nkjzsQwIP7qcRhjnlRsYwzbr+0c2M6BFyYH/tVUPS8GyJDJoKTbAHpvmmDLZYxp5owxzefGmOb9QF/GmCfLGvPP5wfq48X8znkw28K2xret+u79ttrY/v65c8DxeVt47r38Z1t4XgzQ5iG4pgbC0xuLzfWf+bcxT9+WMc/s3TPv7cVTclvC6t4/09G4stvCM21re7l/ngP/7XPgLMY/z50na1oMwTbgPVnaZYwxLmnCGIMxm9F8MMCXMWaAt9tfbYsDTqCfjzLbamP7++0ceCYcsM+kkDFui5Vpo5XqBCkhzuJm6u4wKVbvPb31FAI2mWI9aUymMplKuffYDNSTMaZpaKy1zdSYzfdPpcGYzc+M+cfpU8s+XT7LUnBQAfUsynS7Je9usjTFldkK91bdiSb+BgxwZVsC2AMUed5fbe3z6VLXoTGb+ebKpBrnVrh7Y/QOg5uWgZC5IjYl0dzGQiKmOT5aTWITOowwKuTafCpc/9vxzDggCd0yBRmJ5snx8cmaki03b5nmKhUSdy+I5WSaw1j5SIVj6VGq1NUdCCrygv3YZ0SZG6XgGUuQmaY9Ic3IkpQkiokSwaZEMjSxlxH7knGdYKXW4H6HaLMAZ2y9HLO25v8VqfRHBoYm+Gu3euA+7oGgSXR3ml+aaBbU86ekju5Y9y5Nlbq3bLmMMapmtty9cBJjjMadNeGE2MFRZ4zBGL3TjCd+xkDQ1BEkliA1BLHBJhnuf9aIlcZaX5Ro+rNmH24uHdC1NVV2++cZcMCojMVgNS/G6E4C5uarEUU0Gg3xOMGzEMjQ+IKnsp70z9cC4GseQsGoDi/iy26Tdg0w0UAzCSOpihsf34aEfo4w1GF3roCnPI0MI7PsR5ZQyAlhA8JaRlARI+uyYE/pzAmrw1MePW/ZVBOVuQl1HhkJRt5YE8pn6iWVIdWsg8oYdMkYSZ2U+dtPJKPTEFzq4IxRqvsm3TLAqN7f1vjP3jm63P/M4YTY5Y0xWAmugzHNkWrxyPC1cAwEohSaVsZgrIfn+QSeh5FlSjxoWL02bL+eAwes5sDGKSYFox83X3GaiO2SMKsnQprWieKKpqNGnDaUbxDLOFlj8KwmQTJoXmAyyLO8NIqBazi70xdk9GvVrIlbkZgUaxlsNCJqtYZQpy6meKGPF3iYQE06+IbMs6QS2iaM/A0xyzHaYWuvT81vfTZQ6spvC85FdcDI3JgEnvz1gOZsE2WaZE261UQaYzDGiDhI5Qo7JBqjg8XgY/VjlEP2JpMnkG75M7MxcSyLqzHxArq28sYY86Txcc+a49JKkm1ZRDA+T4dq4NMdppSDhLrVOMWvRAqTad5x/wG6vF4xi+3Xc+GAVWUHJ1cpDclSLD67vxCa8wJyWtRDP8W3NTAN6RE0pFdlL6PmSQaFLEjJnIzz4r02c+Af0P/XRxkeDjE2quL39+P39BJ295Pvq1KsNIQacU83te5NlLs20te1gd6+TVQavUS2Qdb8O8UySFJWpwyu7a3p1ry7d3D324IrNyCMJZMCpjIkJHLDYk2iQxJphUn0zgO95++ujEx6lW4xMilePcKvN/AbMb68As+tWBmqatASBP4/bof/0GWMwZOn4vt+M7VulYTmmCItEu6/Dqq7P9rf30M8AMK+Ltr7eilpnnNdvfjdXXj9SuM6OQl9LmfUvmH79Rw44NhnVV9pJLlzi6Kn+TOpntUT0vXdpPMWUnnwUapzF2A3dlNKPXLyRiPFWBvy5stU9e0q8KK9HAsGJN4VKBFRqJTJVq6hb858Ntx+H2uuuYUVl1/D8kuvZPXvrqb+mxup/foGKpdcT+V3N1G//HbSa+8nuO1R/AcW4i1d92Q/zni4G5c6uPzzCc2jphTqjRr9vT30bVpPnwxjudy32WvRpEPzi61X5jL6cvSkWomcx0BvFXqqmP4aphbhaVvihMQpOVbGx8HVewHBGR1jDMZshiPNjSWOY5wBqjz8KH2/umRA9P7iD3T/4io2XXI1Gy67lnXX38GGBx9i4/JFdJXX00uZyHmWrvHt+Kc4kOqwJpH5iGRxIoUKsEbrmbxSyWAiY7Nq/iJm/+qP3PU/P+HRX/+FrvvmwoYy+aq8olqM0WJq5dG+yB0gnH0ZkIEZhigtYIJOcuUajbtvYunXPsHSs99B17kfovsz57L+q19m8cVfZ/aXzmP+lz/Lqs9/hjXnfoJFH/0A953+FmZ/6u0s/+55VC/7Ddm8h0iiXnpoUMnkFYmETMpSEyfLUY16uUwqd7TmjEdNFj7LyGTkYzGdWtLMpwp2gzyyrK7aQtZQbCMljaBe1YqfaEhpSrRqLWsuvYrZH/k8cz79DfofeIRIbUZu7yxjggKs9SijO87oUpU+7bODaj/xjTex4JPn8/hHPsrKH32f+txHMa5xucZZXSxTXMuIqP60LFXspyxPr1apQDUTAWqoBnE1opHUnYjpWQO0ZXVxskxl6v0xVRm1qCpiY0ErWVlIxBNilZW3ksl7q8toVKoNGmU9c3+YX7Qa0R3pXfP/0lKg0sg7Mypfq6mFeoVMPTaESAcDqHymNMtBi7ZSbY/Mo+vnv+fxr36PBRf9D3O/+k3u+8G3uPPbX2LO5z/H4gsv4rHPfY45X/gMC7/6WZZ85bPMveATPHjOmSz69nfx7n+Ezt6U1jSvfiyxeCD9Ee+NBm1oaB4rok2sFwP0SGNO5YHWxIeqvKdM41El8SIj0zYuUit9Ur6qU0bNuRt7Jj5HxOJGg75GlX7JA4ovpvIKIvGiXq2TaMxoSxZ5Sj4AABAASURBVCjXDtROVq1p0tWf2qupn4rkoubaUOyvKg82cvHHpkzEoisiFV2R2nOsdhCJeq76YrMmFImTWkKQ4Ik2xOdU3nAk3te3FEsaCWm/KkgmU3nGid4l2p6mWqiQrKaa/3q5QiOqa8gRFcVyEtGUabxugbMq68bQkASnNsD6Ia7tipfgFSVHixcRzp5N+01303nPo4Qb16NTAZB3WzA5UuuT84pk1tNiADXNedmNV2lkVF90IrpS6Wwsnjq5QGNx/E1EU9SoE0UNEvdMNFFW7837qPl3vurSxbheJ9WzWMbO8XQT/fRFPSA5U2VwcyD9bGhey5UaFY03kiw6uAXPIZGRTCUQmcpthSNtK+zWzNOlmaahpoGJEnWYkNVSEs13wxTIxownf9BBhMcdhTnsQNpOOIYhLzuBzhOOpfPQQ+mYvruYNIy+hzbxxKV3Mud3V7L25nvxlq2jQ3MXyhC4MWjucCJsFdROSiUqYnJVD2IJtIMOZCD0SUNP1BhMZNAMkOo0QPLeNEruRE5hJwraJ/sSFr+rB3/paqK7HqFy5Z2YWx6ibcEq2jb106bJb4ipdQmWkWLnG4a88TCazIaMwoZFK1h99xy6Zj9ObckKGt0b5U31UbN1Inf0IK5Jn+nIQgr6yYctmHyBWt5QC6GibUpD+3e3Pxe36NOWpU+09+ldf2CINRYT5MHkiCOPtO5RIo+XBuKxbSqY+++ELGBC3Rc9agVDv7azFXUcScgSq+faAqaeRyYBdjQUcyW2dXlSnECKE8qdHzpmItMOPILpx7+c8Se8khFKR5z0akYKw45/GUOOegmjjjmRice+lLH7HkRp1A7ghfIEjVZgS13875HwdknA+8TLtFYnJ6NnZJgSX5SoD6sxBV4OXzGNRPQmkqV6WqNXWt6dViloAnOaj0yGJFIqe4lNLaHq5W1IoLHFWnCywMPmQ/xCDsS/yLPUrKHqO54HOGVDOpRPcxQbITktFLmGJTA+ao6KFK1L89vrBzTc/3WT8yCgiUTzVTER/eJtWSysuPgXUdMINvQ8VTnj5MoY3PSHWrCs8pnmsiajUtNYaipXV8ysIRloooDk1WKyDD82FKNAW3rdi8asT1965pmA0JEgO+fpoMYX7zzphCw5WWxxepFaQ6a+EyETyVi1q1SaKClI8SW/YTkhV8nISy99Na3pECsMdfGs1lKgIT405UzBFKM+Pc2H69voiDqTIU5loOOcIVIfsbHil48JcticIMPoZwGB+NlOiVLQSpLLi/dQ1tjdn9VpkILmwSp2qOE8q4/dVmlntaKkqi5isD45mxMR7bQPHceo/Q9hysnvZOqZp7LjWaex83lnM/X8Mxl3/kcZ9ZmPNNPpZ3yQcS97FUHLUDbccCddN99D+uhCTE8/voQvdi1LYK0sUV4Wu6jJbZGSdKY+HTaUQEek1X7K1W564h4Zm6oUNcHIssayrA3PIwrCplInUtZUwfJK2KCab0A+IefFtNoE9x/vFcKMxFbpM33EIfjFkLAQklc9I0bEUo5YGpATHYN13NMuhWiXySvaFKNgYJ1+alkFrREggRbpMsYZdRnlhlbwKK2TZHV8TX9Rk5PTahDIGOa1zJa0Mrdo1WlNIgqqa9VhQ/1WCiH9uZBqJRZtRpPrS3B9MpXJtAolcYW+tJ8++il4Ca7dksZeyMDT2GU7ccpflpcUS5g0jAE/DfGiJxfTN7SFloP2Zuy73syEj5/BmPPP0Zx9gglf+DQTv/ApdvjM2exwwdlM/OwnmHz+2Yx8/9vxDt6b8ohBbJJgZxp8ThoSGEMgOvLWalyejFOK8776xQM8C3ovHZSyQCQ+NBRHNFLYkuapTa9to0ZmEtKCT1LIkwa+jv01NsXcdPZBLjBUjHggr7le78dq9fYUDA/qMXmNuVCOKIj/dZvhDBUeugxpIyUVfbIAIMOSindVyYtbnd3q7VermL4ejGTLZhGJylSpUUsrmtqqDE2ErzlINI9lecb9motq08uNIDUYjTfyIfFTQt+SV1kjjy1JyqQau14Raiy+ZBOjO/EIjVeN4pV8Io2pp7qR7lovtbgquYn1LKZqUxqlgHSYU3SP1DNkaicJPBoam2w+WANiaiJPrquQsKEU06O0lkuJ/QSnr5VaH9WoIr7HFFVXbCSVCtck21XpW8M3JDkf124kuhLNhyf+ePIY03KVmvhTk5wl6ooMOV8BXk03IqBfRrJPuhupHasyXq2Gp3n0pD9i/rP62G2VtsbQHuawoUbvQ1WKVq7U6emtaBUzVAa10Te4k1x+iDBY8tZKVOqkMnIEyYwphAfsw4iDD2DYlMl0qG66ag215Sugv4/EJGKYRmcy/FqEqZclGxuorFlCfc5DcNvtxJddQaSYRPDrP9P626tJ/3gVlRuuI3r4Qeya1VoBKjjOxiTU5UvX5O63ybi1LlkJCxYRbtxAhwQo74Ku8xcSaxth7nqI8v0P0bdwIVHPJpK4RlbpJVm+knTBElizFlvvI5NA1Teso7ZwEY0HH6N+38M0Hp8Pm7pxytXrZXgSjqLQKgPaurGL4hMLtVV5kPjm26lfcS3l3/6J+Jd/pPaLy6j//s9wwy3YuXMJu9YTSqhrElznQdS9lM2im2ob2kPv/CdoPPIYLctWMEyKMlguuKeAZHLDHWy49Eo23HgbtRUrpSx1rFYuZ0h9N0fbmNBQAlPQliWQEhdbWmHwMLK2QdAxmHpLG335In1BgXKxRG+phb7WdmqtbSTy8CBAtos2eTt2xXLqDz9A/c678WZri7B2A24eMslIovkMVBaDFEuGR8JqNAcFZ3x7eojnPE7/Lbdj7rufrKtb3mWNsoxATXNo1LYRH1mwkPi+u+m+9TpafnsVuV/+SXz8A2XxsHLtdfTfeye9ix6j1reGzBfnvJjIk/JJTJ2iNtRWvbeb3oUL6H/4EUpLljNK26LB2pbnH3mc+i13sPH6m+i9bzbJyrWE2kqFfTX8xxcT3/0oyT1zCJevp6DFMJTxsJ4l9H2MPATEu7rGU5Gs+TIEvrY53oKVoncO8QNz5OGvxpcSW50SR1GDhuScICWtddG/+HE2zr6D9Lbb8K+6ifSyK0l/r/FdfSsFbbU6nlhKuHo9o7v6yMvAGGPwfA8ruFBFZpD9sTL0gPSwo1GhQ7JRmPsE+TtnU7z2Llr+pLZ+cx3BL9Xur66i++pr6b3zDqJ5j2LXr5TOyPBqYYtl+GqSwbKMcM/d99Nz2z0kDzxGafUG2jRGdUlD1ie16ssTlDqD5FlLG4YOxUjzTyyTbjxK7fHHyTauU6Fn91GTA1cweh04CmQ565rUSErnBD5QzaK+ivIijKw2cqFx/3esJjGsZ7jVp25S0MrmtZUI24rkij5u0JFWMvQu9lOtFbEMQIyVcJjFy+m66moe/8EPuPuzF3HnJz7NnWd/irs/eZ7yn+LGsz7OvWd/gvkXfJ5FX/82a3/zR8WkHtaEbaTQ08DfVKGxYiO9f7mdxd/4BXN+/Fs2zn6IsNJPffUqFl5xDY996+fMP/+7zP7E11j6yz+QLV2CJ8PHE4tYdcmfmf+tn7BWgpGtX4dVvKh7zjwWX/InHvv893j07K8x/ws/pveGe6G7n5qET44SVMvEMlLd193Msh9fwtwvf5v7z/8yt5xzIdedfQH3XHAh957/Oe79tKD841/8Kit/8nPKMlJty1YyWjGNVhkxK+8gL6HIFi5lzR+vZsUPLqH3J5eRSgF7f34Zy7/xQx757De47zNfY/7PfkvvnDmYWj9GipcSgVYkTdeAH18eXliv4mvFkkMIUhD56E1LkZPHUJLQt8pQlNRWm2hqCT30wdNUWq2gvtsqbOxnw/138vDPfsS9mqeHv/gt1l9zA9GmNfSHKVkQUEwsqa9mA/AkvDlHnw4C+mR0HvrBj7n9gi+y7Ds/ofLYYtC2OCcDkFMMIX1iCeWrb2Tl9y/mkYu+yOwLLuCaD5/B9R/5GLd8/Bxu0fzfcObZ3PTJ83jw699k3R//iFGsxNuwHk+LjBufTWOCeo1okfj45+tZ8cNLqGgR4w9X0PWTS3jia9/m3gu/zL1f/hZP/OZyyg/NJyf5ya/qpUuB9wcv+iG3nPd1Fv/mChoLlsvrauBLG/1Qg3HMEIzGGGphzskbYO4SFv/icu770g959Os/ZcX1d1JZuxGkxKHKBTJW8fLlbPzzVaz40v+w6mMXMOfUc7j7g2dy5wfO5C7hztPO4eGzP8PCr34b/nQlvoxm2NNHIIsTWA/PWqyU3mZoniGQPnpu0b71Hvp//GsWffarPHDGuWrzLO760Nnc/dFzueec87lHMvfIp8/j0c99hvnf/pb4dRnpQw+SW7eekvgddMsD02L92Hd/xt2f/yYPfut/WXftLbB6jfpuOI2X5xWpQ6hJ9yUChFmi+hup3XY/j/3wl9z+lf/hgV/8krVqV9Q9q4/dZmk3YLlmqSxhpEGj/aKRe+seNxxjy70gYa7IuCStAVlrXkKYUXHGxYNUZZJKH5mEPi5Y+kuWiowR2l+6HUMmpvpaZVi7ieqNd9ItYalefj05rSjDWzqZvN8+zHz1S5n2hpOY9OrjGb73DAKtJhsefZzHf/Un5l78O8q3zIYNfYRqq0NxAude1uW6BkFIlg8ot3pUB+fJ2rXBb8kTt7fIGLaS8/JPriRRfx1ZQ7SMEhhDYBOK2uu2yStob+2gvdhGa76FkoTOk6IiRfVJqQibFsxn5eV/Yd5Pf8kTf7ma7sUraWsZzOSdd2fWEUcy5YQj2emow5k4fTotarv73vtZ/PNfs+ynv9KqcydeV5cUPCEQ/VYeCj3dNJ6YT9ett7Pg93/i/p/8jkcvv5H1c1fimxwTZs5k4s4zae/oxG1djRQuk3A4zyOVUXRzat1KrYzbQmeaO2VR82SKnzRKIZW8T7efUNM8dduIxEjINGbtbYmszJmBhua9GiX0K6jaK++1bhviZwItluGDhzLCKxCsXEnt4fupznkEX6u20eITOxrkBVWVJurbSAZiHeuXly1h9V330X/HQ4SL19KBj5fvxC92kFdf3hML6PrzX3jipz9nwRVXUJHXMkTxtR1POIxZ73oVu77ntezyquPYaddZ7KD9j71pNqu/9UsFy39ERQcMfrdmwxkE4+GL7uK6DdhH5tAtT2fBby5l9g++z/xbbqB33RrNZytjRo1n8KjR5Ae34xbKnLYkQxWD9GRI+x68h3V33Elj8Wp5aRp3I9OiKh6ZBrG8LR8o6ZZNvVQkixtuv5Py7IeJV60W42o0PUEr+VPspDZvJat+82cW/fDnbLjqegJ5OMPHj2GnEw7noLe+kr3feCLjD92NZJDP/EWPcvfVf2LONVfSL9762sZbLRopCXGQ0TAyAZrvQEkm2pZc8gfm//oPilc+Sk4TPGSnKYx8yQGMf+NxTHnD8Yx7yYGMHjlGc9PN2utvYLEWvlWX/J7GfQ9CuU5Rcj3ELzK+rZ18olNFAAAQAElEQVTcsrXU5M1W580lXrcSI70N1Fek2FRV402ksNWkIYmPiGTw+x7QjuDu2eQXLaezXqddMmWMwRij0jyZMsBlB3j3t6+cFdbEhoqEGdniRJ5NI59hpLWtLuqlldgzEUb70NCP6RTDOrUK2eWr6NcE9S2Rq6a9sz98GKWJE6BjCIGUKZSFR0flvXMe5Yk7b2fh0iewIwcz6TUnMPHD72XkWacx/OMfYfQZH2biGWcw+eyPMun09zD68EO0/chYdPvdzLnuOjYueJy+rMymYQVajzmAae9+K7u9+lWMmjKNbqDe0c7EIw5ht3e/hT3O+SB7nf0Bxr/qeLyp42FoJy07TWfaa17BLu94I2OPOQQzupPunMXbcSKjX3YMU09/F3ucdxo7nfYOOg7bm6SziPUsuVXLiK+9idrlV8JjjzF4RAfTXncC0z/5ISZ89iOMv/AMShecweALzmL0+WcxXWOaeNSBMkSpTuVms0HbzD4ZG2fQTBCSyM3P/IxAXo1Nq9TlLWa5gFF7783M009h6sdOYcpH38eI151IfvoUfAlQmIbag2ck8qQyp4AYrFZMJAiZDIADSo0xZCYAr4XAb5Hx8sllAa1+Hk9zi+drpReM1dxkWukyiim0qa1SGEipDA0Zlkx5b9gYOsdPZsiwIeS1uNQXLaK2YCmmqx+rLVfDxrj+rebX/f6UVZygtkIe0pyFtHdH7LDDJEp77ow/ZhxZoUh93Tp67r6bTVKS2sL5tI8ZwfRXv5ydP3gqE08/jbGnf5Bhp76HoaedzPgz3sNO73sr4484iLSYY9m8+ay94TbS9ZuoaZGsBwZkWEPFdFrFw7AqI9G1VpIa077XDCa85eXscsYpzDrt/Yx5+fFk0ydQLfnUWzX2ncbSPmU4Ob9G/8J5lOdqS72+TC5WmzajmtUpJzWsYpUSd9jYTc+8eUQ6tWoPDWN3m8rIXSaT72iVBhjinjJ9Dz/O+uuvp6b28qOHM/jlJzH4A++n86zTaT/rVFo/9n5GnP1Bppz1Iaae/FY6tOj6O4wntR6ZDH/z5Epb1FRjSowmREaBTd0svvku5t/zgLI9tM2cyqS3vZpJ53yA8eefwfjPnMnY8z7CDh/9gPTmw8x621uYOGtnWrVdrD48l/WPzKXatQnyIbn2NkbvvSut0pHmeOTN961cDv1lcnLxA8kXGn5R8iEWyJkQD1atYNOcx2DVekZokR41bizh4A6MMf8fGOCyA7zb8spAHMjkeGS+kDeYMIF6n/bOy6k98BCNW27Dv/0m4rtupnrHjSQ330KobUyqffu6X/2R5drvVnV0N2LPvZhy6GF0zpiOi+zjZRSISTesYoPiCV3zFijQ2sbYnXZnyJFHwgH7Ek2fpnjSKMqy4tWRmpRpu5M/6CgmqJ2JUyaIod1ED87GagvVUnMGsURl8BCYNl6YBEOGEov+1OQJxu8As2aQTJ9Iyy5TyU8YRdSSo6qAXCSvKD9lLP7MCSTD2lmvgHKfNVTlNTXGj1K9KaR7ziDbaTLZqOEkfo5E28a8JqC+cAl9mzbiDe+kfZ9ZFA/cHXaeTDxhJNURI8iXxlAtDCeeOI1k/70pHnUQnuirauvGwmW0PLECuuv48i4thlxYwJPwOW+mMKiDCXvtxsSXHkX40oMxh+1FNGsKlVHDpDQlIj/EaKUNbY5QKdu4YmSOLBTkcSDXu1cxpcrVcrlvvJXkxuvpvela+m68iur1V1O58Tq6br6JnkcewfaWCfTTIKTqFTUng8ntvCMjd5QnluugsnwNyx68n7R/Pb6CkZkMQSbPNk4aigNFxBs3Ka63kHjuiiadnXvsQnDA7oSDWsnJSIXrZCTmLqd76XqyUgcjDjmIQa88AQ7fn9r0XaiNmEg2eDxm1BTSnWZiFRAfdOgBjBg3hWBdnfJds4kU48t6NpJqu5fkEuJ8ShamhAF0DB3MuFecyNQ3v5ZBWlA4eE/YcybJpPHE7Z148gJyblGcMYGRu+9Gx/AdRHOFNffcT7p0MaZWIVacr6Fxue1oTZ5QrbKJroVP0PvYPIy2M52jRzFy11nkJ00hk1L68iS93jWUn3iAtY/dQ5D3GLPvAQw98qXk9zsCJk+nMmwHojGTsFN3orjrvow66gTGnfhKWg8+AkYMl5x5mjFPnrohkCeSx4NEctndw1oZkFrQgj9tOrnD9m3KRjJzCg15p3GujUahg3WlDjIZ+uCw/fF2mUE5X2DT+h76V20k1mLR3LZ3Fgh2mc7offakddAgyprL9XPmU5anmOnAwJcn6/VDX6gFyWZ4S1fR0EFSr0ImVc11afIEBu2xO96YMduQvv//tf3/H/2DJ1LQdPO4NXxDUYKVX7WJ6q0Ps/jiP/L4Z3/A+vO+xxMf+xIPfeQi5n7yGzzxme8x7ys/ZvWl15BfvpYJE8exwyuPZ+jRB9EYM4T1fkRZx7FeXFdAdhN2yWLyG3oY3DacwWPHwdjRoCPEsjHURVK1AWWtOis1HetbC6TjR9A2aQRD2vO0aAvTunIjpicm35uiEAZVCXUsbyBuGFpqPsW6T12DqHtqT6cSsacB+QGBCSloK2CxuH5ibYFcvVzma1sAgZ5nKlfTdqxsCtRsCDISYWQo6fizrkDcyo29bEg8UgltbtIMGDmBuDBI3kJJtfPkashLsMQ2IBrUiT9pLP7Y4TSkGBUpTKR4Ez0qpK1tc5trLIERbaIhyBfwRwxWm4MxYQt+WMT3iwReHs8LMRqHhkXsQ+IZtnXlbExb2k+4djm9t93Kwh9ezNwLv8zCC77Ask9fxAph2flf1f3/MPdz32Xut37Gqj/fRKYtk6c5yIsXnhaipKMdf8p4ClOn4g8ZTlmxhK7HHyZctZS8YmfSTwLxyZfA2qqUV256+cF5xOu78YcPaXo/6Y6TqdkGjXIXfevX079uIw2t+IHeh1Mn0hg7gpUFSy8WN/9JVWOUJ1LxfGqD28iNG8WgkaNok/E1OkDItP1JurukUzVMYDA5n9gzVNWm2w6Go3bASLbKxQ565GnWwlAGKtQ66OGrbVIrYzCUQbvswsjps0R/wKbHHqf/8Udgw1o8xXQ8zX/ojH6WUFu3mrV33qUyj5JvLzBk1+nkp04mKrbQL28UxddsrYy/aRVp1xqKpTz5cRPoGzVO/eZkUKAItGQgNmB1OJBXzCivXcKIkcNoGToIU8gjMZbHJVnU0byR8UGGMBD/Zx56IPu+6c3s9obXM+Lwg2GiFjp5hLH1MCYQLKEMYa1QIO5sI9Eim2jcvpzT1thTvxIaebR9gXRGxqNjn91ok0HO+mv0PTIfF/+MujfhewYd2IKRMdcpmZm/hLK8qMrGjdghHRR3mkYgOYhkwHmWl91meaMSMvkNEo07wTHASwOs23HaAplXJJG1TUuDsUEnhdwgvGIH/a0lujtLlGUsqmJYnyLrG+Yt1IqxhKSvj7wMREGKZrV3THv7oa8i1z3FFjxixSao9ZB0raewbi3tq9bRtm4FHX1rGVReT0tlA2naR7mUUR5aYr2EdFWsNvKQdHrkA4uvY9woFqe10pdkYIrWJzYZMua0Zj5WfWupRIulYLRqI9NmyaTQVrQF8kb8Rh1P9Fkx3dN9gMqBmwdc6byXkavG5HuqtPZHDKkbhsgLK+iE0NfkeBJaelaTVpaTmnUibqPo6ienk55WCUmLBDnVHr8uwdPeQfwLiKyhIYlL6pFc3Vjd6N6z1DUOFIdw8GSIAyFMMgKVNaI8Nan6UHlRNtBHxciihIaQBj60tkhhCiSFIqbUKoEvaUvUrvsOsmIbQVsnfqGFWNsqFJj2DDih8fVtOzqxM3bEzJpG1JajsXypPJF7YOU6cTyQ4FpCzYHRCVn5kXn0LVqCacuT22NH8qrnBa2kUpjUN0Q64k77+mlVu0OLRTq0EIQy7KM31hjSu5HOTesoblitRUrYtIGgp4tYR9h9tkJ3UeNRHDJVX574EogNVtt9MUTsMpTFkH7NaZx5SAhkcMBT0DtQvCqXQd6CFVKTUQ1DvB3GM2nfAxk6bhxRtZvVc+6nMn8eVjGmQLLvZCgo18ktWknqYiaKGdlJg8nvKV6MGSUZLhH6AUYLCgqwl9f2QjmjoPhhrjXEtFqqQUTZ1OinoTSiaY3afZKCiC3FrLJ9VPyMRHMv6kSzhSTDLZB18Ssb1ckQhQKGveGlDNZWtHXUaPIae67cT1jtwfStw9u4gZb1GyhoPsI1yveVaRFfCzKkfrUu+sQoGfMkyOG1D5YnNQlPO4CwrYBdsZb44SdIl62BuC5WpgQ0YM0aKo/PY9OCBZicldGdSuvO02joFLVm8iL+2X00qm1UcNx2SiiBlR0ilYDUczmSMSNpOXQfJr7nDUw77zTaLjqDiV/8OLM+fw47nncq4z59CjM//2FmnXmy4jX7EW8qs+77f2Tht3/DmstuIliwhtZqgpVQOKWveoaCGDxsZQ99193NE9+4mIfO/bJW5G+w/tNfZ8WnvsjCT3+edR+/kL6zvsymr/+M/uvuJVhXJVcPqPVUyfp6ZSCrBAraWWlaFGRUvJiy4gBV7d0bOY3VSZsUtrmQqE+k8MiwxAYaMlypVqmskMNIgBKbkJpIb1M8UqzqNRkmOUbufdpmZfw20FfoxpguzKqF9Fx/LSu+/V0WnP9Zlp5/AWs+81nWfepCNsmrWHLGZ1l09ldY9a1fEd/2KIWuKrFOD3uSBpmMNIGHkTBEMjbV/iqRYFPwJbiJAnzVfEY9l4rORHazQaJtoknq+IrBhSQSkIxtXdXYY2Ncon/QGEqHHMnkD57C5PM+zoTPn8f4L36WMRd+mrGf+ziTLjyD6Rd8mJlnvofRrzmGxsQh9Hs1almVRMY+n8YE8sbCyeMp7D4DO7yDWMfBa+64m2zZKhlOSyIvIZU3lGjxqSxYRq2rm3DMYAqzJuONHoGneROLaRrTakSLgpwdtRi7eAVLdTw953P/Iz5+i2VnXciy87/M0gu/yeLPfYulF3yL5Rf+gHUXX0bj/jm0aoHoiiMaFkLF0XLiBFoM0mpKrIlNtaWlpYVI752lyRmPomY0kxI2dJJUFdOqOahKfxLNMjKsZudZDJHX7ucMq5ctYL22Wok8dC+1RNKJykop4oNz8RavorUUUpo5Vl7AWNKWEhIlcsZIFg31/kRGzJILipQKJfKhoZBLlAYEfl5UhApue9QqKXUtXikhsXQiDQpUpXP1KMYaiyea00QGSO1GkoXuQPRqS1Srx9QWrqN+zWyqP72Wru/8lsVf+18e/NzXePi8L4pv3+CRT3+J2V//LstuuhmzYQMtoj+QvGWNCPe7RL1aaN2uwWhb37brjgweP4ZQXlDlkSfonb8IN4dRiOKMNeryNHuXLadHi2swqIXhMj55hTYS0YsWdrHyWX3clGyjgoGsQOgXKMmlDUwsRjXo1QTXiu0EE8dT3G0a4bRJBDtNBa1shV13pbT7Xvh77UNwzNEU3vZG/16B1gAAEABJREFUWl91LK3t0H/f7Sy67S90x2uIpHhOUBK1JTtBKsvdtXYufY/eS0VxpPINt9B1+x2su/de1t9xD5tuuJNlN9zDo9ffy7xbHqZ7eQ+xJrYwdTy5CcNpqH6ptxdfNBJ6tMjDyAUBdQ9STeSgXnkrWvWivMHXqI1EJQ4SxFlyUuJiXJNSQSxltlohjQxCIkNkC+2kfomqDFtdSh8ndWQBoF6gtVpiqOmgTYG6ytq1LH7oPubdeQvL5ZqvvfVeVl17F0tuEt0338jG225i7XU3sHz2YyyV4GwaPRZv1ATCLEfamkpYKxQjGKRtV2lQiBliiUtg8SmmLaLREEgBfMGzAUZbsNTB+KQS2sR6WM8jTEWeU34NMtDznFpIZFydeQrlyfjywb2iITeyneK0cQzee5biA1MV35qCv+sulNz8KZYRyrCYnSaQ7TAY06JWjMHTj+/nZIrz4kmRRmcnZsfxDNppF1prrbTftx7z8FKqGxYRNlR6U521jz7IyoWzSYsNitPHEe40g3TwMJzBdZ6HFZ9tQePRihqLv/0yZOsem8vKW8W3a26m/7qb6L72Oh31X82av1zJ6j9dxcqrbmLVvXPo2lQRDUPomT6GXs1hmKWkWnwqBqppjkJUoKOSUtDWrCRjSFRXaDolznn4LfmmIXAxK2kZeSnl4KQFnLKPCSidsBed48ZSXNgNDzxB/5rF9DbWkW1YQ/DIQ9TuuZ3u3k0UZu5Nx8zD8YZMpi6Pv6L5alR8yXdM7FWxLerPZNQkNsZvEwdzaIpoiIsxyMvJqEugImLRVsXP+Y4EyMrygnuFuoyZhzEFscynJfUZ2lWHWx6k61ffZ+GXPsm8z3yCpV/5Imt+/nM23HAdm2ZLZx6+j8oTj5L2deH31RXqUGdlQ1mysTFXp6eQYMMcbbRQzkFcytM+Ywq5XabQr/ko6zTXf3g+dvVSsNK1FavYNHcOT9x3B754PE5b1baddoKRQ0kLBmPrpJ5tInOpNWSCMYanXlmWsRX2qS+eNq/6mSY2jhtiWUqQDym2lci1FCG0JDbThOZI8mKs3tXzAXUJaSMokA5qww7rINxhOIVJo5GmEC9Zi1nRRSBjgOpkqgOGSqlI7y7TaH/dSUw7/yPM/OanGf/VTzDhy2cz46ufYrevns8eX7uA3b/5OXb/7oXs+r3PMuPrn2Ds2e+h7bXHEO02mbK2fYn18ZwLLlczSRLkfYMY4ryeNImpaRyJ3FUjRogT+jhxQJcBMcs4pqm8rxXHV7zL18rsy53OqU4o+FqZUDBSw9Z2zNCv7VJX6BMowD31HW/gIAnDgV+8gD0/ey6zLvgku4jmmV/6FLO+fD47K5164VlM0ynFjM98jB0+/n4KrzlOCp4nywdS6i1T4rZWDhpDJuOJA8/wyv5BuS3P/MySj30CuQteNcNUEnlQHnJtkEZgZdxwSCxe4pHPAkoykCW510WlucTXNtIjVoxDjhrFYgvDx4xljA4WWiftwJpqHyt0opkqkJmVuxScXkqvVtJ0VQ+DB49i7B6707bjBKpidU22P1E7UV3qp/HVxdO6DGrrxIns+vrXcNTnPsGBX/kU479xLhO+fQFTf/A5drr4C+x88ZeY+cPPs+N3JB9fP4eJX/gYL/nEJxh/4ktBp2rOezCph9X8GVKMFiNbzLHNqykPKiXDlEmpigquDh4/AUkTvQq81nSimy+XyVXK1BUWKK+TYcqXKE6ZROv0HckPHqwtJ/LoIjw/kWpkBGrTyKtLhDjKSDVGhSXxMshpS+3rviBa24MiLX6BEnmwebVhCcTrgvMyiwWcB9KfValoq0lvF13338fCyy9n+c9upDxnI8UxUxj2spOY8P53sfPHTmOv889hpy+dy/CvfZxZZ3+InT9wMlNecoxiPJPw8i0ygr7mWvSkMW4RKDREt3Y2vjzT0lSNZ+xYpNh0yQj1yAtK5Dn56rvx8EL8JZtoGTyUogLejB3pKopHRm0anu1ln1EFH4yUMiOTHkTUG2JErUJFqNVrJI0GBTHXE0NtLSUnV7IgxhdBwm4ppQGBH1KWVTVa4dt6Etp7YpAEpjIQFWlylgsoFDppaRtL25ip5Hbbh7aDDiF/6KEUDjuU1sOO1MnBIbQcdAQdRxxJ6fAjaDn8cEoHHUDrHrvROm4SLYUh6itP2FQgUasVTfOMr319UMjjhX5zHEYc94zB/ajrZorGlsrIJkLkIE+hacP03D1D5X3Pw3oezsojjwKNJ1doJx+WiGRsq/IGoimTSffag1h0JUcdQXjiiRQPO5q8tjstRx4j2o9jkO6HH3ksY446lqEHHEI4ZTpWBl1+Opn6SZ1mC0YGKNMYEilnEotf4ucz+2jU4n+z7NZUN5nyalIqadFA8LTd83J5UnlQNhdixCdjA8mddbZIfqAhQ2WNkCmfQqT5qsmIZx6OJaDntrWT9pnTGbLfHlQHFVg29zHiRx6nsvhxBXAfJZm3lJLc0EGTplGatQvRsKHUQIoAed8nDELyra14Ql35irZLnjxpc8xBlI/dj9zBkgGh5Hio06HWgw6j7eDDaD/scDp1GurS0iGHESnA3K8xVUVTKHkrhjmsaG9oxa9rNOpywI91bw3UJOs9CtxmO4xl5G670zFyNP2r17H+3gepPfgIkU69Nj46l6qO2NsnT6Zl1k40Rg8nkufqZSHqlTBUQ4WQsK2NtlI7xXwbqeSyq6uHnr5eeeQZARZP9EkcyXyLo9MBzbmHkTGzkmWPTDIRqz3bFpCT9+5OoBvyRKp33ql58qUXe9Hx7tfTesY7Kb71dbRIttr3PJjhu+5HYfoseqZPIJ46nr6RQ+gLQ9Wx6tdvGg0Rhes/0Ny6TGNwO4WdptO5886QK7F23hK6Z8+hsGw1ZXml8ez5DK77DJk6DW/3nUChGDRngQTL59lf9plUyURcqgkMAo/Q97RiinlSipLkvC3IEebz1IOETCBMkOkmkaVJqJPV+onkAvbLgvat2SCPAfItrfilEkj4TC6HbW/FDO1E46J7zVq61q4DBSVN4EsZPCpAv4xHNe9Tk8flykmeqXlWnleIyastL6+J8oliQ6KVDxHtDIiVYbMSBFQ2lTdh9K7kWC/aEYzaRorp8qm+nLGJVdeh4SFFSahLgDOTkWrsidpx/VcDQ9mqci6kIC8g1CpWX99HbVU3Vlu9gskRBIXmZHepWJ9mueZ5Wsl8kpxPrPqu/ViGzBQDEJ0qRqqfTEpuxHNjRJ36iz0pvnVvtwGNJ9MY3Hg2D0kPtlRpPlc+VsM1LxKvU9GgTvwMY2TcZPAUMJGr35DnkGiFTvFkhI1owRkc5RMvFe2WWPOQiORMR7BIqTShMHo0wS5TseOGU+veQPC4gpQPziZ55FGslC43ciShFDUdN56EPBqZqEkwGpf7vaK4raADhBYZcktfdy/dUnh0tO2bgER8jGxe0uQJVjw1xGohE6xkyAsCGn5ARY2VRWtNdMUaU2Y1Ps0bmXpzdKrHgT6R5rkW18jk5YY2R9oxBKuwQuB+pUIuS0NH0+kNd1G96Q5WPPQgG9VH2x67MnjX3STDQ6k3XewMJ2uRaEmNAS18SWcHXlsriU7FEp32DSlX8TSCyDS0ra/QH1VpJDU88TcQ7ZT7CKtVcjpI8WJI5GFnWoBCK0HQ+FKd+q5dtKRpFIt5S9uITnJjhhIN66RL+tSrbsmsdCEjimKKmltT0Vb1/7FzHmCWVGXe/51T6cbOPZ27p7snJ3AkSBIWBVFRSTOSJEnOOaOu6AqKmF0FZAExAt/3sPp9iIiABGVgyCAZlDADk3qm071Vt6r2X3dYxEcQZ919Htxnbtd7q+6pE978nvO+Ayr+RNmGQXTW9VztWVCyWX/Joao1dFrFdnbTqEDhDw9IBONyuo9j7nqIlf/vFiZVsW1dMINmBZu0v58J6X4qu7DGwUX8/msMfpN3WvZNWt/QlEiTx8W4SAxLtYAvbIsypJIIDMYjUGIOlU/jsTWY8REYWweja8mtWo374jKSp56l8vDjVJVRN39cQylfpjx9gKS7hZqMzkiByoqIrXOGKXQ2UFnxR1594iFGHnsYZ9nLFMfXktfWz6tJaE4N11RxonHsxBqS1a+QvrqCdGRESlOVcqZMeJZxkxAKYl8C0xqJcJ5QKXhkxSomVqwGlc61l9Wxv1oXbiLHlEUCIyeRKbMb+PhSHKs8DaMV0rUTmLGqtt4RbkU0j2eONcQVn+LOEvkZPTS2NZFo7nWKFpEqPsjZBmOj5CujeCYmZ1MdaSqYULirNBuvFS7LX6C2ajlBEoKUS9jWK1SpjniZYhg5n1SOtxa4Mkyj1f76laI/ySvrpSf5IRmDfuu7/pzN6UiGQRrhVMaI16wmksM3K9fAcjn9FToWrxkjGJ3AVSXPrJYsX11Zf2dWrsBKrk40gUco2mOs0cwZWsIvbmnGmdZP44ypuNoRj973IKtvvJnR++7HyMmV3j0Hf8tNCVva0HBKMvIMlwzXSFE5bi6Rk06UdEcGtnbJ/VTuuIfyS8twlbfxiPBk8L4Ge1SwtVFqE6uV2F5GZdXLOKtHKSmTWpZBuuJ15IbSh1AcAU/Y+mkmrWy1t4YslRCqW16OpCQxG6dAbbiP/FbzaRjsIrdCenbrUiZvWcKkqpypnG1RuwCnb4hiriAZuyQK0olr0GGAUcej2tqCM9CF09HCujWrWPHAA9TuewCWLcPT8adVOtqs/oHk5FRCkuf/QHTvg0Qqc4fSVyunEMRQ/zdilYS0imgKqDoBkaqWfmUdZSWEG5Ytp/zqahoqE+RkqzghNpkge+898jS13y2l+tjvsSOrcaWPqY2J5YBIJMAaJG6C47gam8ctNlOYOY3ypnNwmxuYfOwZwmtvpnbbUlaG6wg3G6ag/GDQ2kFqrCSCVkxA9LCBH/u2/eXFazJIN8sJiAFJxiQtZKTA1aeeYNUNv2D5lT/kpW99nxe+dRUr/vVKRr5xBSu/dgWvXHw5z118BU/+64946aa7SOS0mubOoH3Ld+F0thH6lkR/fqFIw8wZdM6fQ3s+J0Y9wSvX/DvjP7gOq2qIe9OtBLffRXrr7dRu/w3xrbcwcf0NrP7R9Sy/7v+z4s57qCrn4CmyFKsxJtvByHiN5jJiYNSYZ9XYCMsffojJe5aS3Kv+9y5h4qGHtGN5iUgOLpLiGcfgSQhNTa34nV0SoEuyfDXRo4+TLFlKqET4+N1LqepMbEbWabcgQ+6YQuPCBeQ3nc24B8/dfy+/v+4aVl73E6o3/1Jj7qB49704dy8hVFI1uuVO4l/eQfX6W1grGLtzKWRVIzk2xStxI8TIgNzEyPAcOS0H5JwSbdHfTlZGO4JU42Jt4V2s/uSGbIKbJsq3SeEUPVPXIwhKyJcz8tiTvPSzG/njlT/m5at+woorf8SK7/2QF759Kc9985s8/91LePbyK3nmx9fy4q9vY/zpZ7ETkzjEaGZCzV2V6lW0q6yJb2VecFYAABAASURBVCUdVXoUOYPWJl569lkVDpYy/oIMraONxnfNw5/aR9WautP3haeVoU9aSBQkSp0dtGtb3zJtGGMsry59kOd+9H9Ye9WPiW66leTm2zC/vhWjSk56yy2Ev7qZsRt+yaqf3cArguX3/A6zegUFFTaKwq+gORw5g5rmT4WfDWHSGPSKfLYjEo9SMTR7FLtxYv1QAIodtVr9UH8pLGlbC/n5M2meMw2hycQzzzDx7HPkykW6tlyIr3wJymOKDTJsMKKvhj4O+DoZBC0ttMybS3HeLEZkqi89sJQXr71G+v1TVv/iRqLb7oLbfkeoxPqyy77Pki9/hzsuuZwHf3UTY6tHqMpmapJkkFg87YisApLT0c7UBQtpnzGPl0Ze5fH77+a5X/ySEdlEfNNteHLc3L6EVHoWXncTf/juFfz+6mtYef/DhBNj1ERjIjw9BRCr4FcVTFCp45+TdLEeNDfJJgdpmdpNqAT+S9L/inalWaCI5ZRNdzeenK7MBnEVpBFWzBS7hS2vg9Gb1zpkT38BWf+/aPyzBs1gtYqjsy01nxHg1YJlpVPhxecf55GfX8+jV3yfld+7nj9c8lOevOQHPPadf+Opy3/Ai9ffyKoHHqWmiFhSwqpt0Yfo3H8PGrffBtPSii0VSFyHtCyDmDmTtl12ZvCDH6DQOoVXVSl67NIf8ttz/oU7Tzybu04+rw53H3suDx7zaZ44+QKe+9wl/OHqn/OyGJtVI0ITkcq7e8ah4BUJmjvomK55584hsZYXbryVJy/8NveffC53nn4eD6g0+cqv76L6ykrCbJcnQJG5OHWIhh3eq+R5N6tkQI9e/VN+d8anuP3wk7jrpM/w7Pf/LzWVlf1qlXVK6CVbvJvSol1p+/A/UWpvZvT+B3gmE/qnvsyjJ5zPY8edzZLjz+C2k8/glpPP5o5TP8N9n/0KT191DauW3Eei4ymKlo54m7opFR3PxnW0HRMNVa+E8fJyjN7ru5hsJ6Our1/GGIwxErrFKjmj05KUyaoNQiVDNZCMrsT3mMznqTkFQiXXl2mX8tzV1/LMNy/lqUsv48lLvye8L+PZyy7nmauu4pkrr+b3l1/NI1f8mGeuv4nRB5/GWTmhaLx+rcy4aznAN0JfStvYRmHWXIIFcxnvbKHq5gjlzNPh6aqWTsNrbJYRu/hFT/IAJmSqKgW7aYrX2klh662Y8vHdafvIB3CmTOGFpQ/xm29dxn2nnMe9J5zF3cedxm+POZnfHncqS049lwfO+wKP/svXeerbV7JKTiHWjhM58pymtToj1hyfdYWAUUFFUGtqhFR4RgaUswitbgIrZ+jIGeYTh7LQwklFE7iuIbKBdutdFHS89LJKa5CSOtCgI2e3jl6ODDHNq0E2kg01cvJJLD2MY4yKHWIMBVUIpy9eRK/0OzelqV4VfFLO5qFzvsTdR0sXjziTu06TnnzlMszdj9HrlVm4w3b0bLsd49OHeKWlyKiWqCURa92ENWWXdh39enbYnmnzNqMcBSy/8W4euuC7LD3pfJYcfQ73CJaedgEPn/d1Vjz9PI2NTUzbYnPKCzdhTXur5vFwxR+bhTy3Sk64ZkduFKzwLLQ10TxvOp1bzMOd2s7aXCo+evSL5s7Z87ENzUjhEDpk/x7NNeA4rtyXqYPF6PV6MHo2Rt9vApa3+Ri9DwRYbbE6Ggm2fjdT9tuL/iMPpe/QT9K9zyfo2X0x05VsnbHn7kzfbzFTD/g4vQd9nK5D96HnmAMYPPkwpp1+JAN6LshIGRogDPJURGxVaMaFMravF7bdisIB+9J1xCH0ffJA2nb7CA1K5hbmzqU8NJ02QcecuWLKFkx9/47M3nUX5uy0I4PzF9Ckrb2vpKPjuVIQl9D1oK2NYMvNmbH/3iw84nCm77EXLQu3oNA3g6bh2XQMzaF7yiANfhvFWh4/0phcCYaHlODehr4DF9G3z260v397Wt71LrpnzWVw5lz6pg5Tbm2DXJ7EuOSndNK5zVYs2FfrHH4os/ffn+737URx1jz8jgEKTc20d3XTOzhEz5yZ9L5nE6Z9cDtm7ro9HVvOIe1oAB1jEhmAjXzUGV8J2NLBu9Gw2040zpxNQUrJ23wyWWkTh6cjctY126eE1mqnYqFcwO/tpOO9WzC838eYtt9uuu/G4L4fZWDvXelf/GF6F32Qnj13YXDvPZix7z4Mf3wxw3vtzuCuH6Rzq60oDA6CZIUJtMt08WTMbuJmSxEZh2ouoKZdToeqLTMO3p++Y46g++CDaN9pZwpD00VjEU9qlCl6jVgOKiE/6eBWDBXhPNbXTu19m9Nx6CJmn3Ao8w4+gBkf2422TefTpCR3WXzIoHnOAroWbs6QDHTezu9nwc470TFtlnBrInUDYkEYBIR9XTTtuA39By6ma/HHaJbeUQzAsaSeU3eCchVE2r4kcvykFnfUwliKGlkrXCdkTr5kne/ppaqguaZYIpEsp8wVTv0D+AqiqQxM3chuiYzMtQadrMgcVegY0C6oJFw3OVQ0HXMcUz5xAF3bbUvv7Jm0K9nevOk8pigoDy76KDM/uR/TDz+Q5sMOZMrh+9H+yUWUP7QD8XA/k35OmHpUpefhYK+qXjszdOKh9BxxIO17fJjWHbaldbOF2nHNpm2T2fS9dzPmSn+6DtmbqccfTvuRh9BzwP70LVpEx/Y74vUoOW0L8rc53CSLJA7jyME5CWN5Q9ScJ25vpDKlkYnOFpplhwNbbE4++2855dDFHlkvkOpKRGedCfq9AZd9276KTk4tou6AprTQuNUWDKlEOvOowxk6+mimH30MM084mtbPHEnTOYfSdMbBtJ0ux3T6ofSecBCdhyymea8PEWy3JZO9vUTlJqmei9WUfiXFrSZkebcosUyoYjAybxbeh94v57U/g6cfxZzzT2X+hWcy/0tnMP/icxj42lmUv3EqjV8/mZYLJcwT96Nl523we7tItIuIlc9JhPOkgXUFn4nhXswu29N67AH0ffp4pl9wOnO+ei6bfu40ph25P/ntNoP2JiJpT2w8Ugk3lXf3B4aYsng3+k48jL5/Po6Br5zG8LfOYvjzx9C6zwekEF2s026rKXTIDCiVUYYDA/g770D7UftrrRMY/uIZTP/K2QxedhHD37mIud+4kFkqxU+74Dx6P3sGvccfQWmXXRjrHWA8DZmcqEoZfAq9U+nf4yPMOPZgBvbdjfKC+ZAvva2o6h2Mvt1MrEYUGTCOaHOItaNytXUv7fRPNJx0NM2nHceUs06m67zT6f30mXXo0XPnOafSo3f9Jx3J1NOPZtZZxzHr1CPoO2gv/K03ZV1nEyu046kAVrsGq2OBsq/UxPdJ65D0dNMlp9C1/770ZEFKjqh5x+2huwuJhUgJVXXGCkdXR2S0m64pfFazHUlqSPNlguFhyjvvSPcxBzHz/NOZedFnmX3R55jz5QsEX2LWRV+UHD/P4Oc/Q/f5ZzPlzBMUlN6D19UFQU70GiZdB6e3h95d3sfsow5h8OB9KPV1i496b1ISOQmRINtJSI1AATYWHpPlgLGyx+o8jJuQRHkUs26MZM044ViVcU/jpypoZf/+Rcfv2HcJtTPJ5sKCfBiJkrxW4Ekf6/jkcsRyXmy6kJY992LouGOZdv4pDF98MtMuPoUZXz6VmReexMDZR9Bw0O5Udtic8VkDuNtswdBuH2X6B3ZmyrQZ5KRjpchSSnOYfIFUDjbaaWsaDt6DwdMOY9anjmfmZ09k+hdPYfCrp9Hz1ZMofeFw2hZ9hHjLdxOqupXb8b1M33sxvR/cBaevn8xmAgXr2IEJGzPm1uTkIqWQJnFVPLArR0iznKnrk99kPv7c2dDWTCj+xSLaGH3JASXShTRjgH5uyGXftrMWyKJDNYmZSCDWDiFtbKUmiBobmGgpMSovGZYbqTY1MV4uMVksUlM/6xdxbREvyev86iOsSZWdE50E1lLwPQLXyG9qYs2fOaOySkzNXhNBqRka23GUV2BgKrXXwGvro1zowi11kDS1kTa2YLO15DyQscW+r91MQqO29w1Vq5xAgG/LOMVWzJQeIu20Jvu7GNV2el1fK+PCf7zgUslBzQOlC6RA4AclTNCqrWYXdPRT6+0nHuzHTu3FKqIZreeFRrQmjBdhrORTKTcQNrRSFd5RWwe2v59g5gyWd/cw1tlPlEWcvmFG2zoZLzVRzZXxxJ9inCdV1AnyPpnOxorQiRxOrVwmLBVA7Qg33uaTkv2Jl0ZCk1I44qyDq5hmpFRWRBVxGlowOirFxRZF1CYmnDJjgkm/iajQAnpnGjpISy2kxSYyZ+yKz0G5QbLKUdIurUVnr5yxuC54Oi7mXEtZO5ico7UEUaFETTowWc4zVvYZzRlGnZAxI4N2U6znYuUerb51UiLK2pQQzUk3CpobfDLDHRftyxtz4lsvcf8QqQwfQaJye7Wrl7G2DkbEx7W5PIj/sWfJqpdoLhPpHCY+xHpXa2ykpuBmCgUitYUScj0vBFrJEojfjknFp1BZmirGVinG4/SGk3Qpsevc8yCrfnMn6554ApsLKC3YlNKcOdDUQM21pBpb967ysIkxGPHGiv+Q1vVpopayNooZAcaLeaqtTYTSiWrfIGHPAFFnD2FLB3GxGeOW8EyefBrIT7uETo60UCR1HWwUUajWKMnyxTImE0jkORyvgNMsW1GAZ6CfmhxL2NHLqOS4Kt9E4vjUjMe4HM2YnOGEcKgFDrET4/gJATUc8czXMawcVmgfHyP//MvYex9lfMlDyq++TE7Bomnhu0CBJPE9JsQtLS+KdGWBQ7JMBfq1QZf9W3rHmjgxRpsgo/OexZcXtmFCHMdijJHReLghBIlDSczIBQVSKVlFY6qOIZKSot9F5TJ860hJIir6m7AVxk2FCRNStTGJ+qVS1thPiYiZqFX13hK6YpFbEJtyuE4e1xaIE49JrRkKD7KdVCXB07OfQNVNCPPSgMCALoUoUvVxcMXwHFZK2Si2N0rZC6LB1ZndlRL5EnK9v9Ew4R7lHJK8hy8BluMchYqHU3VBYS4UPeOB6FZCPq9KRaYUjaK/LPA1byxcJiXUijW0SfilWqJzdkohc7QZrSajMIJYwo+r+FJWnJTEQjhZq9OSjwxujHghenj7T5zGhGlNHUW7vqUjeFIOhEtSUbuWE1u13a6REzeLNqIsJWzQIgXJwI8r2MqklDoiMi5VyaoqnkS+JTNukS1NSJFINXusqTRnrQLVCSFZxYYar52QXuqdS1Z2TuKQmuYOBZEbSS8M1nE0D5gYHFUUc2EoJwBWRpForfpLGW1QMzTF4rGp4lLBEa+txtgExCq11SSbUI6wRsWBMJtQK+dEeIPWaJA3D4zFiAeJJq0o8RwJMgeVRmrRs6e+roRuhXe0YiW1hx9j9M67WXb9L1h13c/J/g+Mf7zmel664078cIy+GUN0LtgEhoZADi0RFta18j8xkRxEJH2KJfdYDicJaygHO/6nAAAGVElEQVSuEEgHAs9Rn4Qo44dwRDtnbzJPPimTdwRuEccG6mOEXqJ7iiu9E5ZMSqahB7boYaWT6CMWULOyE+nuWFhlnZzHuLWEsr1ENmJrAQ1hnu5aE/nRiNxkFV8FpJz6eL4jPYuoJTpwJWOE1ZVMytlk+dAXf/YrXlRhZ/lP/p2nlNRe9sgj5Bp8hrfehDblUmlqlH05pMbljZ9EPJZff2PTG57f+tG+9av1b4yEE8gqgtTF93xMoCjnG5Cz8EVMPjFiYir/kkgUSZ3hnowwSH0CGZ6naRwJWd6LWNKIpSjWcfGsTyCzy5kceZtBgIeTdcMkKY4cQM73yMvQM6b5EmoGSZqQuFrLg6IYmfddKa4lEU6Jq8W0loeDqwN4onkSUhJP7XqfmlTzC1fhnEgpMkiloJ6YGai/qzWswGgN10ulEKJHz1lbYhKtoXUCUeNaMlxa1NcR1chQU+GrHtlqWCmGL8MNZAC+dbGiN7GQqD3VuoHaioKccbCuJfU83KSAp05Gc+byVu0urqs2KZMj9F2bYIx5HdT0+pUq8mZgsWS0JBkWJhEnMvyhqK1KID4lSsAkjtqN1TuLwdEIgWi3xsW4Pka5EyvcXZvii1++6PeEU503GpWoLdHcNjHiZcaLgEQOPVF0dRUoCqI5i6aem1Lw85RkWI2mSDNFmrQTLkg3srkSzZnNkzn4Ov3Cxc/oT2WAViDZWsne17ypzZNIX1Jr0aJYk4jrCX5qySl3kU/zZPIIJAdHPE0Qfdldv1Pdjeh19exbl5zmy7m6e5ZMzjU5uloWMIyCpvJvIw89wyP/di2Pf+EbrLjwuyz/2hWsvOE20mpKy5Zb0/mJxfh7vI+osUAkB+kpsLjCOXUsjvDNaw3feHoOcLWOK1x98U0U0Og5ZE4xn1i90/qB6LSSh3ic6bXEiyPeO5rHZHfHUNBzSXIJREdK1j8D6YLGlCTnYsbjoCg+y4bqPBRv9M5m87qaO5N5Q5FYJ4OcH5DXIm4SY8QT4+ZJ47xSCHnCX9/BiosvY905F1H556+y7ntXs/K++5QDaqFtzz0I9tyTcNNZhE1Nqhi6FGsoOMbUtFasNRzZiyvdYAM/dgP7b+y+kQP/8BwwxtRpMMZgjKk/Z185Od8eVbf6lRRu3HohE1vPJ/rYe2k/8WCmf+pE+lRMKWy7eda1DsaYPxtvjKm3vxO/jPlL3IxZ32YzR7lwLp5yT8lO7yHcdVv8fT9M79H7MeuoAxjaa1dym2nX95+EaZwu0a6G9VPo+bUHNW3I9Tc5IGNMfQFjNt6N2cgDY/6xeZAZiDEmu9XBGFPXb6ehRO7dc5mhosnmJx3G3DOPZej04+g/9jAadv8okzp6jTe31PsaY+pjsy9jTL3tjc/GrG8z5p1xfzPcXm9zXYpbb6HK6CLmnnI0M885kannnkT/SUfRsedHqM2Yxqjj1mk0xmCygfVvo2+B2rImPWW3DYK/yQFt0Ixv1dm81Ys/tb9Gx58aNj79L+DAO48EYwzG/DlkWKY68qCkedzRQjIwgB0YxLT3kOaacXWELOu4V0i9rOubjjfGvP6u/vAO+jLGvI5zhpYx639nz2RHWxU9/I5ucqrAJqI5KrQSuQ2EThEryHmletfsy5j1Y43J7vUW9JQ9bDD8TQ7IGE3/90IdRc3zV+5k7/7edTaOxxjxeSO8JR947WOMee2Jet/EGrJ0d834JAJDTtkkT+8cFT1iKlFIWIv0e/04Y9bf0ceYPz3rZ72PMeYddc/wysAYk91exy37sS6qqlhglfz2oOYpl+sKHExkVSwwuMaiAbqysUZ3Xvvo+bWn/8pNs/5Xhm0cs5ED/4gcSIV0Bkb3N15ZmxKzSs46qirVJsaprB1hfN0aonCCxNZIA0MtLwggUfI30fBU9zSbKgP9/ke4smJFBhmu/3k3cry4qqilIdVoXDSPqYJZUYK6qoqcgIisYGAx6/8Mb7jzd33s3zV6AwcLbyHOXwU2fjZy4H+EA5m7iBXh5T7kb1J5jvWQtUekJpReqqQfV1XdmcB3KhTzNQIvwkmrGJW53ShVBcggdyRIBClxuh7S/xGc//smzZxNvfKo6mOc/VMBQTa7MQbHWgI3wbUhnh/i5irgjZI4Y1i3irXiT6K7+toMxCkDqiICov/PQE0bcv0HAAAA//8j5HqmAAAABklEQVQDALtwtdep5dcvAAAAAElFTkSuQmCC"/>
        <xdr:cNvSpPr>
          <a:spLocks noChangeAspect="1" noChangeArrowheads="1"/>
        </xdr:cNvSpPr>
      </xdr:nvSpPr>
      <xdr:spPr bwMode="auto">
        <a:xfrm>
          <a:off x="1590675" y="600075"/>
          <a:ext cx="304800" cy="42518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227090</xdr:colOff>
      <xdr:row>0</xdr:row>
      <xdr:rowOff>76540</xdr:rowOff>
    </xdr:from>
    <xdr:ext cx="1024767" cy="930388"/>
    <xdr:pic>
      <xdr:nvPicPr>
        <xdr:cNvPr id="3" name="image1.png" title="Image"/>
        <xdr:cNvPicPr preferRelativeResize="0"/>
      </xdr:nvPicPr>
      <xdr:blipFill>
        <a:blip xmlns:r="http://schemas.openxmlformats.org/officeDocument/2006/relationships" r:embed="rId1" cstate="print"/>
        <a:stretch>
          <a:fillRect/>
        </a:stretch>
      </xdr:blipFill>
      <xdr:spPr>
        <a:xfrm>
          <a:off x="227090" y="76540"/>
          <a:ext cx="1024767" cy="930388"/>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83"/>
      <c r="B1" s="84"/>
      <c r="C1" s="85" t="s">
        <v>245</v>
      </c>
      <c r="D1" s="86"/>
      <c r="E1" s="86"/>
      <c r="F1" s="86"/>
      <c r="G1" s="86"/>
      <c r="H1" s="86"/>
      <c r="I1" s="86"/>
      <c r="J1" s="86"/>
      <c r="K1" s="86"/>
      <c r="L1" s="86"/>
      <c r="M1" s="87"/>
    </row>
    <row r="2" spans="1:13" ht="29.25" customHeight="1" thickBot="1" x14ac:dyDescent="0.3">
      <c r="A2" s="1" t="s">
        <v>0</v>
      </c>
      <c r="B2" s="2" t="s">
        <v>1</v>
      </c>
      <c r="C2" s="3" t="s">
        <v>2</v>
      </c>
      <c r="D2" s="4" t="s">
        <v>3</v>
      </c>
      <c r="E2" s="4" t="s">
        <v>4</v>
      </c>
      <c r="F2" s="4" t="s">
        <v>5</v>
      </c>
      <c r="G2" s="5" t="s">
        <v>6</v>
      </c>
      <c r="H2" s="6" t="s">
        <v>7</v>
      </c>
      <c r="I2" s="7" t="s">
        <v>8</v>
      </c>
      <c r="J2" s="88" t="s">
        <v>9</v>
      </c>
      <c r="K2" s="89"/>
      <c r="L2" s="89"/>
      <c r="M2" s="90"/>
    </row>
    <row r="3" spans="1:13" ht="37.5" customHeight="1" x14ac:dyDescent="0.25">
      <c r="A3" s="91">
        <v>1</v>
      </c>
      <c r="B3" s="94" t="s">
        <v>10</v>
      </c>
      <c r="C3" s="97" t="s">
        <v>11</v>
      </c>
      <c r="D3" s="100" t="s">
        <v>12</v>
      </c>
      <c r="E3" s="100" t="s">
        <v>13</v>
      </c>
      <c r="F3" s="100" t="s">
        <v>14</v>
      </c>
      <c r="G3" s="100" t="s">
        <v>15</v>
      </c>
      <c r="H3" s="103" t="s">
        <v>16</v>
      </c>
      <c r="I3" s="106"/>
      <c r="J3" s="108"/>
      <c r="K3" s="109"/>
      <c r="L3" s="109"/>
      <c r="M3" s="110"/>
    </row>
    <row r="4" spans="1:13" x14ac:dyDescent="0.25">
      <c r="A4" s="92"/>
      <c r="B4" s="95"/>
      <c r="C4" s="98"/>
      <c r="D4" s="101"/>
      <c r="E4" s="101"/>
      <c r="F4" s="101"/>
      <c r="G4" s="101"/>
      <c r="H4" s="104"/>
      <c r="I4" s="106"/>
      <c r="J4" s="111"/>
      <c r="K4" s="112"/>
      <c r="L4" s="112"/>
      <c r="M4" s="113"/>
    </row>
    <row r="5" spans="1:13" ht="15.75" thickBot="1" x14ac:dyDescent="0.3">
      <c r="A5" s="93"/>
      <c r="B5" s="96"/>
      <c r="C5" s="99"/>
      <c r="D5" s="102"/>
      <c r="E5" s="102"/>
      <c r="F5" s="102"/>
      <c r="G5" s="102"/>
      <c r="H5" s="105"/>
      <c r="I5" s="107"/>
      <c r="J5" s="114"/>
      <c r="K5" s="115"/>
      <c r="L5" s="115"/>
      <c r="M5" s="116"/>
    </row>
    <row r="6" spans="1:13" x14ac:dyDescent="0.25">
      <c r="A6" s="117">
        <v>2</v>
      </c>
      <c r="B6" s="120" t="s">
        <v>17</v>
      </c>
      <c r="C6" s="123" t="s">
        <v>18</v>
      </c>
      <c r="D6" s="126" t="s">
        <v>19</v>
      </c>
      <c r="E6" s="126" t="s">
        <v>20</v>
      </c>
      <c r="F6" s="126" t="s">
        <v>21</v>
      </c>
      <c r="G6" s="129" t="s">
        <v>22</v>
      </c>
      <c r="H6" s="135" t="s">
        <v>23</v>
      </c>
      <c r="I6" s="138"/>
      <c r="J6" s="108"/>
      <c r="K6" s="109"/>
      <c r="L6" s="109"/>
      <c r="M6" s="110"/>
    </row>
    <row r="7" spans="1:13" ht="25.5" customHeight="1" x14ac:dyDescent="0.25">
      <c r="A7" s="118"/>
      <c r="B7" s="121"/>
      <c r="C7" s="124"/>
      <c r="D7" s="127"/>
      <c r="E7" s="127"/>
      <c r="F7" s="127"/>
      <c r="G7" s="130"/>
      <c r="H7" s="136"/>
      <c r="I7" s="106"/>
      <c r="J7" s="111"/>
      <c r="K7" s="112"/>
      <c r="L7" s="112"/>
      <c r="M7" s="113"/>
    </row>
    <row r="8" spans="1:13" ht="25.5" customHeight="1" x14ac:dyDescent="0.25">
      <c r="A8" s="118"/>
      <c r="B8" s="121"/>
      <c r="C8" s="124"/>
      <c r="D8" s="127"/>
      <c r="E8" s="127"/>
      <c r="F8" s="127"/>
      <c r="G8" s="130"/>
      <c r="H8" s="136"/>
      <c r="I8" s="106"/>
      <c r="J8" s="111"/>
      <c r="K8" s="112"/>
      <c r="L8" s="112"/>
      <c r="M8" s="113"/>
    </row>
    <row r="9" spans="1:13" ht="23.25" customHeight="1" thickBot="1" x14ac:dyDescent="0.3">
      <c r="A9" s="119"/>
      <c r="B9" s="122"/>
      <c r="C9" s="125"/>
      <c r="D9" s="128"/>
      <c r="E9" s="128"/>
      <c r="F9" s="128"/>
      <c r="G9" s="131"/>
      <c r="H9" s="137"/>
      <c r="I9" s="107"/>
      <c r="J9" s="111"/>
      <c r="K9" s="112"/>
      <c r="L9" s="112"/>
      <c r="M9" s="113"/>
    </row>
    <row r="10" spans="1:13" ht="63" customHeight="1" thickBot="1" x14ac:dyDescent="0.3">
      <c r="A10" s="8">
        <v>3</v>
      </c>
      <c r="B10" s="9" t="s">
        <v>24</v>
      </c>
      <c r="C10" s="10" t="s">
        <v>25</v>
      </c>
      <c r="D10" s="11" t="s">
        <v>26</v>
      </c>
      <c r="E10" s="11" t="s">
        <v>27</v>
      </c>
      <c r="F10" s="12" t="s">
        <v>28</v>
      </c>
      <c r="G10" s="12" t="s">
        <v>29</v>
      </c>
      <c r="H10" s="13" t="s">
        <v>30</v>
      </c>
      <c r="I10" s="14"/>
      <c r="J10" s="132"/>
      <c r="K10" s="133"/>
      <c r="L10" s="133"/>
      <c r="M10" s="134"/>
    </row>
    <row r="11" spans="1:13" ht="84.75" customHeight="1" thickBot="1" x14ac:dyDescent="0.3">
      <c r="A11" s="8">
        <v>4</v>
      </c>
      <c r="B11" s="15" t="s">
        <v>31</v>
      </c>
      <c r="C11" s="16" t="s">
        <v>32</v>
      </c>
      <c r="D11" s="17" t="s">
        <v>33</v>
      </c>
      <c r="E11" s="18" t="s">
        <v>34</v>
      </c>
      <c r="F11" s="17" t="s">
        <v>35</v>
      </c>
      <c r="G11" s="17" t="s">
        <v>36</v>
      </c>
      <c r="H11" s="19" t="s">
        <v>37</v>
      </c>
      <c r="I11" s="20"/>
      <c r="J11" s="108"/>
      <c r="K11" s="109"/>
      <c r="L11" s="109"/>
      <c r="M11" s="110"/>
    </row>
    <row r="12" spans="1:13" ht="78" customHeight="1" thickBot="1" x14ac:dyDescent="0.3">
      <c r="A12" s="21">
        <v>5</v>
      </c>
      <c r="B12" s="22" t="s">
        <v>38</v>
      </c>
      <c r="C12" s="16" t="s">
        <v>39</v>
      </c>
      <c r="D12" s="17" t="s">
        <v>40</v>
      </c>
      <c r="E12" s="18" t="s">
        <v>41</v>
      </c>
      <c r="F12" s="17" t="s">
        <v>42</v>
      </c>
      <c r="G12" s="17" t="s">
        <v>43</v>
      </c>
      <c r="H12" s="23" t="s">
        <v>44</v>
      </c>
      <c r="I12" s="20"/>
      <c r="J12" s="132"/>
      <c r="K12" s="133"/>
      <c r="L12" s="133"/>
      <c r="M12" s="134"/>
    </row>
    <row r="13" spans="1:13" ht="77.25" thickBot="1" x14ac:dyDescent="0.3">
      <c r="A13" s="21">
        <v>6</v>
      </c>
      <c r="B13" s="22" t="s">
        <v>45</v>
      </c>
      <c r="C13" s="16" t="s">
        <v>46</v>
      </c>
      <c r="D13" s="17" t="s">
        <v>47</v>
      </c>
      <c r="E13" s="18" t="s">
        <v>48</v>
      </c>
      <c r="F13" s="17" t="s">
        <v>49</v>
      </c>
      <c r="G13" s="17" t="s">
        <v>50</v>
      </c>
      <c r="H13" s="23" t="s">
        <v>51</v>
      </c>
      <c r="I13" s="20"/>
      <c r="J13" s="132"/>
      <c r="K13" s="133"/>
      <c r="L13" s="133"/>
      <c r="M13" s="134"/>
    </row>
    <row r="14" spans="1:13" ht="64.5" thickBot="1" x14ac:dyDescent="0.3">
      <c r="A14" s="21">
        <v>7</v>
      </c>
      <c r="B14" s="22" t="s">
        <v>52</v>
      </c>
      <c r="C14" s="16" t="s">
        <v>53</v>
      </c>
      <c r="D14" s="17" t="s">
        <v>54</v>
      </c>
      <c r="E14" s="18" t="s">
        <v>55</v>
      </c>
      <c r="F14" s="17" t="s">
        <v>56</v>
      </c>
      <c r="G14" s="17" t="s">
        <v>57</v>
      </c>
      <c r="H14" s="23" t="s">
        <v>58</v>
      </c>
      <c r="I14" s="20"/>
      <c r="J14" s="132"/>
      <c r="K14" s="133"/>
      <c r="L14" s="133"/>
      <c r="M14" s="134"/>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39" t="s">
        <v>59</v>
      </c>
      <c r="B1" s="141" t="s">
        <v>60</v>
      </c>
      <c r="C1" s="143" t="s">
        <v>2</v>
      </c>
      <c r="D1" s="145" t="s">
        <v>61</v>
      </c>
      <c r="E1" s="145"/>
      <c r="F1" s="145"/>
      <c r="G1" s="145"/>
      <c r="H1" s="145"/>
      <c r="I1" s="145"/>
    </row>
    <row r="2" spans="1:9" s="27" customFormat="1" ht="18.75" x14ac:dyDescent="0.3">
      <c r="A2" s="140"/>
      <c r="B2" s="142"/>
      <c r="C2" s="144"/>
      <c r="D2" s="24" t="s">
        <v>62</v>
      </c>
      <c r="E2" s="24" t="s">
        <v>63</v>
      </c>
      <c r="F2" s="24" t="s">
        <v>64</v>
      </c>
      <c r="G2" s="24" t="s">
        <v>65</v>
      </c>
      <c r="H2" s="25" t="s">
        <v>66</v>
      </c>
      <c r="I2" s="26" t="s">
        <v>67</v>
      </c>
    </row>
    <row r="3" spans="1:9" ht="21.75" customHeight="1" x14ac:dyDescent="0.25">
      <c r="A3" s="146">
        <v>1</v>
      </c>
      <c r="B3" s="149" t="s">
        <v>10</v>
      </c>
      <c r="C3" s="28" t="s">
        <v>68</v>
      </c>
      <c r="D3" s="29" t="s">
        <v>69</v>
      </c>
      <c r="E3" s="29" t="s">
        <v>70</v>
      </c>
      <c r="F3" s="29" t="s">
        <v>71</v>
      </c>
      <c r="G3" s="29" t="s">
        <v>72</v>
      </c>
      <c r="H3" s="30" t="s">
        <v>73</v>
      </c>
      <c r="I3" s="152">
        <v>5</v>
      </c>
    </row>
    <row r="4" spans="1:9" ht="36" customHeight="1" x14ac:dyDescent="0.25">
      <c r="A4" s="147"/>
      <c r="B4" s="150"/>
      <c r="C4" s="28" t="s">
        <v>74</v>
      </c>
      <c r="D4" s="31" t="s">
        <v>75</v>
      </c>
      <c r="E4" s="31" t="s">
        <v>76</v>
      </c>
      <c r="F4" s="31" t="s">
        <v>77</v>
      </c>
      <c r="G4" s="31" t="s">
        <v>78</v>
      </c>
      <c r="H4" s="32" t="s">
        <v>79</v>
      </c>
      <c r="I4" s="152"/>
    </row>
    <row r="5" spans="1:9" ht="71.25" customHeight="1" x14ac:dyDescent="0.25">
      <c r="A5" s="147"/>
      <c r="B5" s="150"/>
      <c r="C5" s="28" t="s">
        <v>80</v>
      </c>
      <c r="D5" s="31" t="s">
        <v>81</v>
      </c>
      <c r="E5" s="31" t="s">
        <v>226</v>
      </c>
      <c r="F5" s="31" t="s">
        <v>227</v>
      </c>
      <c r="G5" s="31" t="s">
        <v>82</v>
      </c>
      <c r="H5" s="32" t="s">
        <v>83</v>
      </c>
      <c r="I5" s="62">
        <v>5</v>
      </c>
    </row>
    <row r="6" spans="1:9" ht="71.25" customHeight="1" thickBot="1" x14ac:dyDescent="0.3">
      <c r="A6" s="148"/>
      <c r="B6" s="151"/>
      <c r="C6" s="28" t="s">
        <v>84</v>
      </c>
      <c r="D6" s="31" t="s">
        <v>81</v>
      </c>
      <c r="E6" s="31" t="s">
        <v>228</v>
      </c>
      <c r="F6" s="31" t="s">
        <v>229</v>
      </c>
      <c r="G6" s="31" t="s">
        <v>82</v>
      </c>
      <c r="H6" s="32" t="s">
        <v>83</v>
      </c>
      <c r="I6" s="63">
        <v>5</v>
      </c>
    </row>
    <row r="7" spans="1:9" ht="30" x14ac:dyDescent="0.25">
      <c r="A7" s="153">
        <v>2</v>
      </c>
      <c r="B7" s="156" t="s">
        <v>17</v>
      </c>
      <c r="C7" s="34" t="s">
        <v>85</v>
      </c>
      <c r="D7" s="35" t="s">
        <v>86</v>
      </c>
      <c r="E7" s="35" t="s">
        <v>87</v>
      </c>
      <c r="F7" s="35" t="s">
        <v>88</v>
      </c>
      <c r="G7" s="35" t="s">
        <v>89</v>
      </c>
      <c r="H7" s="36" t="s">
        <v>90</v>
      </c>
      <c r="I7" s="152">
        <v>5</v>
      </c>
    </row>
    <row r="8" spans="1:9" ht="60" x14ac:dyDescent="0.25">
      <c r="A8" s="154">
        <v>2</v>
      </c>
      <c r="B8" s="150"/>
      <c r="C8" s="37" t="s">
        <v>91</v>
      </c>
      <c r="D8" s="31" t="s">
        <v>92</v>
      </c>
      <c r="E8" s="31" t="s">
        <v>93</v>
      </c>
      <c r="F8" s="31" t="s">
        <v>94</v>
      </c>
      <c r="G8" s="31" t="s">
        <v>95</v>
      </c>
      <c r="H8" s="32" t="s">
        <v>96</v>
      </c>
      <c r="I8" s="152"/>
    </row>
    <row r="9" spans="1:9" ht="30" x14ac:dyDescent="0.25">
      <c r="A9" s="154"/>
      <c r="B9" s="150"/>
      <c r="C9" s="37" t="s">
        <v>97</v>
      </c>
      <c r="D9" s="29" t="s">
        <v>98</v>
      </c>
      <c r="E9" s="29" t="s">
        <v>99</v>
      </c>
      <c r="F9" s="29" t="s">
        <v>100</v>
      </c>
      <c r="G9" s="29" t="s">
        <v>101</v>
      </c>
      <c r="H9" s="30" t="s">
        <v>102</v>
      </c>
      <c r="I9" s="33">
        <v>5</v>
      </c>
    </row>
    <row r="10" spans="1:9" ht="60" x14ac:dyDescent="0.25">
      <c r="A10" s="154"/>
      <c r="B10" s="150"/>
      <c r="C10" s="67" t="s">
        <v>103</v>
      </c>
      <c r="D10" s="29" t="s">
        <v>104</v>
      </c>
      <c r="E10" s="31" t="s">
        <v>105</v>
      </c>
      <c r="F10" s="31" t="s">
        <v>106</v>
      </c>
      <c r="G10" s="31" t="s">
        <v>107</v>
      </c>
      <c r="H10" s="32" t="s">
        <v>108</v>
      </c>
      <c r="I10" s="33">
        <v>5</v>
      </c>
    </row>
    <row r="11" spans="1:9" ht="45.75" thickBot="1" x14ac:dyDescent="0.3">
      <c r="A11" s="155"/>
      <c r="B11" s="151"/>
      <c r="C11" s="38" t="s">
        <v>109</v>
      </c>
      <c r="D11" s="39" t="s">
        <v>110</v>
      </c>
      <c r="E11" s="39" t="s">
        <v>111</v>
      </c>
      <c r="F11" s="39" t="s">
        <v>112</v>
      </c>
      <c r="G11" s="39" t="s">
        <v>113</v>
      </c>
      <c r="H11" s="40" t="s">
        <v>114</v>
      </c>
      <c r="I11" s="33">
        <v>5</v>
      </c>
    </row>
    <row r="12" spans="1:9" ht="83.25" customHeight="1" x14ac:dyDescent="0.25">
      <c r="A12" s="157">
        <v>3</v>
      </c>
      <c r="B12" s="156" t="s">
        <v>24</v>
      </c>
      <c r="C12" s="41" t="s">
        <v>115</v>
      </c>
      <c r="D12" s="42" t="s">
        <v>116</v>
      </c>
      <c r="E12" s="42" t="s">
        <v>117</v>
      </c>
      <c r="F12" s="42" t="s">
        <v>118</v>
      </c>
      <c r="G12" s="42" t="s">
        <v>119</v>
      </c>
      <c r="H12" s="43" t="s">
        <v>120</v>
      </c>
      <c r="I12" s="161">
        <v>5</v>
      </c>
    </row>
    <row r="13" spans="1:9" ht="45" x14ac:dyDescent="0.25">
      <c r="A13" s="158"/>
      <c r="B13" s="150"/>
      <c r="C13" s="37" t="s">
        <v>121</v>
      </c>
      <c r="D13" s="29" t="s">
        <v>122</v>
      </c>
      <c r="E13" s="29" t="s">
        <v>123</v>
      </c>
      <c r="F13" s="29" t="s">
        <v>124</v>
      </c>
      <c r="G13" s="29" t="s">
        <v>125</v>
      </c>
      <c r="H13" s="30" t="s">
        <v>126</v>
      </c>
      <c r="I13" s="162"/>
    </row>
    <row r="14" spans="1:9" ht="63" customHeight="1" x14ac:dyDescent="0.25">
      <c r="A14" s="158"/>
      <c r="B14" s="150"/>
      <c r="C14" s="37" t="s">
        <v>127</v>
      </c>
      <c r="D14" s="29" t="s">
        <v>128</v>
      </c>
      <c r="E14" s="29" t="s">
        <v>129</v>
      </c>
      <c r="F14" s="29" t="s">
        <v>130</v>
      </c>
      <c r="G14" s="29" t="s">
        <v>131</v>
      </c>
      <c r="H14" s="30" t="s">
        <v>132</v>
      </c>
      <c r="I14" s="44">
        <v>5</v>
      </c>
    </row>
    <row r="15" spans="1:9" ht="90" x14ac:dyDescent="0.25">
      <c r="A15" s="158"/>
      <c r="B15" s="150"/>
      <c r="C15" s="37" t="s">
        <v>133</v>
      </c>
      <c r="D15" s="29" t="s">
        <v>134</v>
      </c>
      <c r="E15" s="29" t="s">
        <v>135</v>
      </c>
      <c r="F15" s="29" t="s">
        <v>136</v>
      </c>
      <c r="G15" s="29" t="s">
        <v>137</v>
      </c>
      <c r="H15" s="30" t="s">
        <v>138</v>
      </c>
      <c r="I15" s="45">
        <v>5</v>
      </c>
    </row>
    <row r="16" spans="1:9" ht="90" x14ac:dyDescent="0.25">
      <c r="A16" s="159"/>
      <c r="B16" s="160"/>
      <c r="C16" s="28" t="s">
        <v>139</v>
      </c>
      <c r="D16" s="29" t="s">
        <v>134</v>
      </c>
      <c r="E16" s="29" t="s">
        <v>135</v>
      </c>
      <c r="F16" s="29" t="s">
        <v>136</v>
      </c>
      <c r="G16" s="29" t="s">
        <v>137</v>
      </c>
      <c r="H16" s="30" t="s">
        <v>138</v>
      </c>
      <c r="I16" s="33">
        <v>5</v>
      </c>
    </row>
    <row r="17" spans="1:9" ht="72" customHeight="1" x14ac:dyDescent="0.25">
      <c r="A17" s="166">
        <v>4</v>
      </c>
      <c r="B17" s="168" t="s">
        <v>31</v>
      </c>
      <c r="C17" s="28" t="s">
        <v>140</v>
      </c>
      <c r="D17" s="28" t="s">
        <v>141</v>
      </c>
      <c r="E17" s="28" t="s">
        <v>142</v>
      </c>
      <c r="F17" s="28" t="s">
        <v>143</v>
      </c>
      <c r="G17" s="28" t="s">
        <v>144</v>
      </c>
      <c r="H17" s="46" t="s">
        <v>145</v>
      </c>
      <c r="I17" s="33">
        <v>5</v>
      </c>
    </row>
    <row r="18" spans="1:9" ht="45" x14ac:dyDescent="0.25">
      <c r="A18" s="166"/>
      <c r="B18" s="168"/>
      <c r="C18" s="28" t="s">
        <v>146</v>
      </c>
      <c r="D18" s="29" t="s">
        <v>147</v>
      </c>
      <c r="E18" s="29" t="s">
        <v>148</v>
      </c>
      <c r="F18" s="29" t="s">
        <v>149</v>
      </c>
      <c r="G18" s="29" t="s">
        <v>150</v>
      </c>
      <c r="H18" s="30" t="s">
        <v>151</v>
      </c>
      <c r="I18" s="33">
        <v>5</v>
      </c>
    </row>
    <row r="19" spans="1:9" ht="60" x14ac:dyDescent="0.25">
      <c r="A19" s="166"/>
      <c r="B19" s="168"/>
      <c r="C19" s="28" t="s">
        <v>152</v>
      </c>
      <c r="D19" s="29" t="s">
        <v>153</v>
      </c>
      <c r="E19" s="29" t="s">
        <v>154</v>
      </c>
      <c r="F19" s="29" t="s">
        <v>155</v>
      </c>
      <c r="G19" s="29" t="s">
        <v>156</v>
      </c>
      <c r="H19" s="30" t="s">
        <v>157</v>
      </c>
      <c r="I19" s="33">
        <v>5</v>
      </c>
    </row>
    <row r="20" spans="1:9" ht="76.5" x14ac:dyDescent="0.25">
      <c r="A20" s="166"/>
      <c r="B20" s="168"/>
      <c r="C20" s="28" t="s">
        <v>158</v>
      </c>
      <c r="D20" s="29" t="s">
        <v>159</v>
      </c>
      <c r="E20" s="29" t="s">
        <v>160</v>
      </c>
      <c r="F20" s="29" t="s">
        <v>161</v>
      </c>
      <c r="G20" s="29" t="s">
        <v>162</v>
      </c>
      <c r="H20" s="30" t="s">
        <v>163</v>
      </c>
      <c r="I20" s="33">
        <v>5</v>
      </c>
    </row>
    <row r="21" spans="1:9" ht="90" x14ac:dyDescent="0.25">
      <c r="A21" s="170">
        <v>5</v>
      </c>
      <c r="B21" s="171" t="s">
        <v>164</v>
      </c>
      <c r="C21" s="28" t="s">
        <v>165</v>
      </c>
      <c r="D21" s="31" t="s">
        <v>166</v>
      </c>
      <c r="E21" s="31" t="s">
        <v>167</v>
      </c>
      <c r="F21" s="31" t="s">
        <v>168</v>
      </c>
      <c r="G21" s="31" t="s">
        <v>169</v>
      </c>
      <c r="H21" s="32" t="s">
        <v>170</v>
      </c>
      <c r="I21" s="47">
        <v>5</v>
      </c>
    </row>
    <row r="22" spans="1:9" ht="90" x14ac:dyDescent="0.25">
      <c r="A22" s="170"/>
      <c r="B22" s="171"/>
      <c r="C22" s="28" t="s">
        <v>171</v>
      </c>
      <c r="D22" s="31" t="s">
        <v>172</v>
      </c>
      <c r="E22" s="31" t="s">
        <v>173</v>
      </c>
      <c r="F22" s="31" t="s">
        <v>174</v>
      </c>
      <c r="G22" s="31" t="s">
        <v>175</v>
      </c>
      <c r="H22" s="32" t="s">
        <v>176</v>
      </c>
      <c r="I22" s="47">
        <v>5</v>
      </c>
    </row>
    <row r="23" spans="1:9" ht="56.25" customHeight="1" x14ac:dyDescent="0.25">
      <c r="A23" s="170"/>
      <c r="B23" s="171"/>
      <c r="C23" s="28" t="s">
        <v>177</v>
      </c>
      <c r="D23" s="31" t="s">
        <v>178</v>
      </c>
      <c r="E23" s="31" t="s">
        <v>179</v>
      </c>
      <c r="F23" s="31" t="s">
        <v>180</v>
      </c>
      <c r="G23" s="31" t="s">
        <v>181</v>
      </c>
      <c r="H23" s="32" t="s">
        <v>182</v>
      </c>
      <c r="I23" s="47">
        <v>5</v>
      </c>
    </row>
    <row r="24" spans="1:9" ht="90" x14ac:dyDescent="0.25">
      <c r="A24" s="170"/>
      <c r="B24" s="171"/>
      <c r="C24" s="48" t="s">
        <v>183</v>
      </c>
      <c r="D24" s="49" t="s">
        <v>184</v>
      </c>
      <c r="E24" s="50" t="s">
        <v>185</v>
      </c>
      <c r="F24" s="50" t="s">
        <v>186</v>
      </c>
      <c r="G24" s="51" t="s">
        <v>187</v>
      </c>
      <c r="H24" s="52" t="s">
        <v>188</v>
      </c>
      <c r="I24" s="47">
        <v>5</v>
      </c>
    </row>
    <row r="25" spans="1:9" ht="90" x14ac:dyDescent="0.25">
      <c r="A25" s="170"/>
      <c r="B25" s="171"/>
      <c r="C25" s="53" t="s">
        <v>189</v>
      </c>
      <c r="D25" s="31" t="s">
        <v>184</v>
      </c>
      <c r="E25" s="31" t="s">
        <v>190</v>
      </c>
      <c r="F25" s="31" t="s">
        <v>191</v>
      </c>
      <c r="G25" s="31" t="s">
        <v>192</v>
      </c>
      <c r="H25" s="32" t="s">
        <v>188</v>
      </c>
      <c r="I25" s="47">
        <v>5</v>
      </c>
    </row>
    <row r="26" spans="1:9" ht="66.75" customHeight="1" x14ac:dyDescent="0.25">
      <c r="A26" s="172">
        <v>6</v>
      </c>
      <c r="B26" s="171" t="s">
        <v>246</v>
      </c>
      <c r="C26" s="54" t="s">
        <v>193</v>
      </c>
      <c r="D26" s="49" t="s">
        <v>194</v>
      </c>
      <c r="E26" s="55" t="s">
        <v>195</v>
      </c>
      <c r="F26" s="55" t="s">
        <v>196</v>
      </c>
      <c r="G26" s="55" t="s">
        <v>197</v>
      </c>
      <c r="H26" s="56" t="s">
        <v>198</v>
      </c>
      <c r="I26" s="163">
        <v>5</v>
      </c>
    </row>
    <row r="27" spans="1:9" ht="75" x14ac:dyDescent="0.25">
      <c r="A27" s="172"/>
      <c r="B27" s="171"/>
      <c r="C27" s="28" t="s">
        <v>199</v>
      </c>
      <c r="D27" s="31" t="s">
        <v>200</v>
      </c>
      <c r="E27" s="55" t="s">
        <v>201</v>
      </c>
      <c r="F27" s="55" t="s">
        <v>202</v>
      </c>
      <c r="G27" s="55" t="s">
        <v>203</v>
      </c>
      <c r="H27" s="56" t="s">
        <v>204</v>
      </c>
      <c r="I27" s="164"/>
    </row>
    <row r="28" spans="1:9" ht="60" x14ac:dyDescent="0.25">
      <c r="A28" s="172"/>
      <c r="B28" s="171"/>
      <c r="C28" s="28" t="s">
        <v>205</v>
      </c>
      <c r="D28" s="31" t="s">
        <v>206</v>
      </c>
      <c r="E28" s="31" t="s">
        <v>207</v>
      </c>
      <c r="F28" s="31" t="s">
        <v>208</v>
      </c>
      <c r="G28" s="31" t="s">
        <v>209</v>
      </c>
      <c r="H28" s="32" t="s">
        <v>210</v>
      </c>
      <c r="I28" s="164"/>
    </row>
    <row r="29" spans="1:9" ht="45" x14ac:dyDescent="0.25">
      <c r="A29" s="172"/>
      <c r="B29" s="171"/>
      <c r="C29" s="28" t="s">
        <v>211</v>
      </c>
      <c r="D29" s="31" t="s">
        <v>212</v>
      </c>
      <c r="E29" s="31" t="s">
        <v>213</v>
      </c>
      <c r="F29" s="31" t="s">
        <v>214</v>
      </c>
      <c r="G29" s="31" t="s">
        <v>215</v>
      </c>
      <c r="H29" s="32" t="s">
        <v>216</v>
      </c>
      <c r="I29" s="165"/>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66">
        <v>7</v>
      </c>
      <c r="B31" s="168" t="s">
        <v>52</v>
      </c>
      <c r="C31" s="28" t="s">
        <v>217</v>
      </c>
      <c r="D31" s="29" t="s">
        <v>230</v>
      </c>
      <c r="E31" s="29" t="s">
        <v>231</v>
      </c>
      <c r="F31" s="29" t="s">
        <v>232</v>
      </c>
      <c r="G31" s="29" t="s">
        <v>233</v>
      </c>
      <c r="H31" s="30" t="s">
        <v>234</v>
      </c>
      <c r="I31" s="33">
        <v>5</v>
      </c>
    </row>
    <row r="32" spans="1:9" ht="104.25" customHeight="1" x14ac:dyDescent="0.25">
      <c r="A32" s="166"/>
      <c r="B32" s="168"/>
      <c r="C32" s="28" t="s">
        <v>218</v>
      </c>
      <c r="D32" s="29" t="s">
        <v>235</v>
      </c>
      <c r="E32" s="29" t="s">
        <v>236</v>
      </c>
      <c r="F32" s="29" t="s">
        <v>237</v>
      </c>
      <c r="G32" s="29" t="s">
        <v>238</v>
      </c>
      <c r="H32" s="30" t="s">
        <v>239</v>
      </c>
      <c r="I32" s="33">
        <v>5</v>
      </c>
    </row>
    <row r="33" spans="1:9" ht="75" x14ac:dyDescent="0.25">
      <c r="A33" s="166"/>
      <c r="B33" s="168"/>
      <c r="C33" s="28" t="s">
        <v>219</v>
      </c>
      <c r="D33" s="29" t="s">
        <v>240</v>
      </c>
      <c r="E33" s="29" t="s">
        <v>241</v>
      </c>
      <c r="F33" s="29" t="s">
        <v>242</v>
      </c>
      <c r="G33" s="29" t="s">
        <v>243</v>
      </c>
      <c r="H33" s="30" t="s">
        <v>244</v>
      </c>
      <c r="I33" s="33">
        <v>5</v>
      </c>
    </row>
    <row r="34" spans="1:9" ht="96.75" customHeight="1" thickBot="1" x14ac:dyDescent="0.3">
      <c r="A34" s="167"/>
      <c r="B34" s="169"/>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7"/>
  <sheetViews>
    <sheetView tabSelected="1" zoomScale="70" zoomScaleNormal="70" zoomScaleSheetLayoutView="80" workbookViewId="0">
      <pane xSplit="2" ySplit="5" topLeftCell="C6" activePane="bottomRight" state="frozen"/>
      <selection pane="topRight" activeCell="C1" sqref="C1"/>
      <selection pane="bottomLeft" activeCell="A4" sqref="A4"/>
      <selection pane="bottomRight" activeCell="Q31" sqref="Q31"/>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7.5703125" style="61" bestFit="1" customWidth="1"/>
    <col min="10" max="10" width="7.5703125" bestFit="1" customWidth="1"/>
    <col min="11" max="11" width="11" customWidth="1"/>
    <col min="12" max="12" width="15.7109375" customWidth="1"/>
    <col min="13" max="13" width="14.85546875" customWidth="1"/>
  </cols>
  <sheetData>
    <row r="1" spans="1:10" ht="31.5" customHeight="1" thickBot="1" x14ac:dyDescent="0.3">
      <c r="A1" s="173"/>
      <c r="B1" s="113"/>
      <c r="C1" s="178" t="s">
        <v>302</v>
      </c>
      <c r="D1" s="179"/>
      <c r="E1" s="179"/>
      <c r="F1" s="179"/>
      <c r="G1" s="179"/>
      <c r="H1" s="179"/>
      <c r="I1" s="179"/>
      <c r="J1" s="180"/>
    </row>
    <row r="2" spans="1:10" ht="42.75" customHeight="1" thickBot="1" x14ac:dyDescent="0.3">
      <c r="A2" s="173"/>
      <c r="B2" s="113"/>
      <c r="C2" s="174" t="s">
        <v>306</v>
      </c>
      <c r="D2" s="175"/>
      <c r="E2" s="189" t="s">
        <v>308</v>
      </c>
      <c r="F2" s="190"/>
      <c r="G2" s="181" t="s">
        <v>303</v>
      </c>
      <c r="H2" s="183" t="s">
        <v>304</v>
      </c>
      <c r="I2" s="184"/>
      <c r="J2" s="185"/>
    </row>
    <row r="3" spans="1:10" ht="23.25" customHeight="1" thickBot="1" x14ac:dyDescent="0.3">
      <c r="A3" s="115"/>
      <c r="B3" s="116"/>
      <c r="C3" s="176" t="s">
        <v>307</v>
      </c>
      <c r="D3" s="177"/>
      <c r="E3" s="176" t="s">
        <v>309</v>
      </c>
      <c r="F3" s="177"/>
      <c r="G3" s="182"/>
      <c r="H3" s="186" t="s">
        <v>305</v>
      </c>
      <c r="I3" s="187"/>
      <c r="J3" s="188"/>
    </row>
    <row r="4" spans="1:10" ht="18.75" x14ac:dyDescent="0.25">
      <c r="A4" s="194" t="s">
        <v>59</v>
      </c>
      <c r="B4" s="142" t="s">
        <v>60</v>
      </c>
      <c r="C4" s="144" t="s">
        <v>2</v>
      </c>
      <c r="D4" s="145" t="s">
        <v>61</v>
      </c>
      <c r="E4" s="145"/>
      <c r="F4" s="145"/>
      <c r="G4" s="145"/>
      <c r="H4" s="145"/>
      <c r="I4" s="196"/>
      <c r="J4" s="196"/>
    </row>
    <row r="5" spans="1:10" s="27" customFormat="1" ht="18.75" x14ac:dyDescent="0.3">
      <c r="A5" s="194"/>
      <c r="B5" s="142"/>
      <c r="C5" s="144"/>
      <c r="D5" s="72" t="s">
        <v>62</v>
      </c>
      <c r="E5" s="72" t="s">
        <v>63</v>
      </c>
      <c r="F5" s="72" t="s">
        <v>64</v>
      </c>
      <c r="G5" s="72" t="s">
        <v>65</v>
      </c>
      <c r="H5" s="72" t="s">
        <v>66</v>
      </c>
      <c r="I5" s="70" t="s">
        <v>67</v>
      </c>
      <c r="J5" s="70" t="s">
        <v>67</v>
      </c>
    </row>
    <row r="6" spans="1:10" ht="57" customHeight="1" x14ac:dyDescent="0.25">
      <c r="A6" s="193">
        <v>1</v>
      </c>
      <c r="B6" s="193" t="s">
        <v>10</v>
      </c>
      <c r="C6" s="28" t="s">
        <v>68</v>
      </c>
      <c r="D6" s="80" t="s">
        <v>295</v>
      </c>
      <c r="E6" s="29" t="s">
        <v>70</v>
      </c>
      <c r="F6" s="29" t="s">
        <v>71</v>
      </c>
      <c r="G6" s="29" t="s">
        <v>296</v>
      </c>
      <c r="H6" s="29" t="s">
        <v>290</v>
      </c>
      <c r="I6" s="152">
        <v>5</v>
      </c>
      <c r="J6" s="152">
        <v>15</v>
      </c>
    </row>
    <row r="7" spans="1:10" ht="94.5" customHeight="1" x14ac:dyDescent="0.25">
      <c r="A7" s="193"/>
      <c r="B7" s="193"/>
      <c r="C7" s="28" t="s">
        <v>74</v>
      </c>
      <c r="D7" s="80" t="s">
        <v>294</v>
      </c>
      <c r="E7" s="80" t="s">
        <v>291</v>
      </c>
      <c r="F7" s="80" t="s">
        <v>292</v>
      </c>
      <c r="G7" s="80" t="s">
        <v>293</v>
      </c>
      <c r="H7" s="31" t="s">
        <v>79</v>
      </c>
      <c r="I7" s="152"/>
      <c r="J7" s="152"/>
    </row>
    <row r="8" spans="1:10" ht="94.5" customHeight="1" x14ac:dyDescent="0.25">
      <c r="A8" s="193"/>
      <c r="B8" s="193"/>
      <c r="C8" s="28" t="s">
        <v>301</v>
      </c>
      <c r="D8" s="80" t="s">
        <v>247</v>
      </c>
      <c r="E8" s="31" t="s">
        <v>248</v>
      </c>
      <c r="F8" s="31" t="s">
        <v>249</v>
      </c>
      <c r="G8" s="31" t="s">
        <v>250</v>
      </c>
      <c r="H8" s="31" t="s">
        <v>251</v>
      </c>
      <c r="I8" s="47">
        <v>1</v>
      </c>
      <c r="J8" s="152"/>
    </row>
    <row r="9" spans="1:10" ht="30" x14ac:dyDescent="0.25">
      <c r="A9" s="193">
        <v>2</v>
      </c>
      <c r="B9" s="168" t="s">
        <v>17</v>
      </c>
      <c r="C9" s="81" t="s">
        <v>261</v>
      </c>
      <c r="D9" s="80" t="s">
        <v>86</v>
      </c>
      <c r="E9" s="80" t="s">
        <v>87</v>
      </c>
      <c r="F9" s="80" t="s">
        <v>88</v>
      </c>
      <c r="G9" s="80" t="s">
        <v>89</v>
      </c>
      <c r="H9" s="80" t="s">
        <v>90</v>
      </c>
      <c r="I9" s="152">
        <v>4</v>
      </c>
      <c r="J9" s="197">
        <v>20</v>
      </c>
    </row>
    <row r="10" spans="1:10" ht="60" x14ac:dyDescent="0.25">
      <c r="A10" s="193">
        <v>2</v>
      </c>
      <c r="B10" s="168"/>
      <c r="C10" s="80" t="s">
        <v>262</v>
      </c>
      <c r="D10" s="80" t="s">
        <v>92</v>
      </c>
      <c r="E10" s="80" t="s">
        <v>93</v>
      </c>
      <c r="F10" s="80" t="s">
        <v>94</v>
      </c>
      <c r="G10" s="80" t="s">
        <v>95</v>
      </c>
      <c r="H10" s="31" t="s">
        <v>266</v>
      </c>
      <c r="I10" s="152"/>
      <c r="J10" s="197"/>
    </row>
    <row r="11" spans="1:10" ht="30" x14ac:dyDescent="0.25">
      <c r="A11" s="193"/>
      <c r="B11" s="168"/>
      <c r="C11" s="71" t="s">
        <v>264</v>
      </c>
      <c r="D11" s="80" t="s">
        <v>98</v>
      </c>
      <c r="E11" s="80" t="s">
        <v>99</v>
      </c>
      <c r="F11" s="80" t="s">
        <v>100</v>
      </c>
      <c r="G11" s="29" t="s">
        <v>101</v>
      </c>
      <c r="H11" s="29" t="s">
        <v>102</v>
      </c>
      <c r="I11" s="69">
        <v>3</v>
      </c>
      <c r="J11" s="197"/>
    </row>
    <row r="12" spans="1:10" ht="60" x14ac:dyDescent="0.25">
      <c r="A12" s="193"/>
      <c r="B12" s="168"/>
      <c r="C12" s="29" t="s">
        <v>263</v>
      </c>
      <c r="D12" s="80" t="s">
        <v>104</v>
      </c>
      <c r="E12" s="80" t="s">
        <v>105</v>
      </c>
      <c r="F12" s="31" t="s">
        <v>106</v>
      </c>
      <c r="G12" s="31" t="s">
        <v>107</v>
      </c>
      <c r="H12" s="31" t="s">
        <v>108</v>
      </c>
      <c r="I12" s="69">
        <v>2</v>
      </c>
      <c r="J12" s="197"/>
    </row>
    <row r="13" spans="1:10" ht="45" x14ac:dyDescent="0.25">
      <c r="A13" s="193"/>
      <c r="B13" s="168"/>
      <c r="C13" s="71" t="s">
        <v>265</v>
      </c>
      <c r="D13" s="80" t="s">
        <v>110</v>
      </c>
      <c r="E13" s="80" t="s">
        <v>111</v>
      </c>
      <c r="F13" s="80" t="s">
        <v>112</v>
      </c>
      <c r="G13" s="31" t="s">
        <v>113</v>
      </c>
      <c r="H13" s="31" t="s">
        <v>114</v>
      </c>
      <c r="I13" s="69">
        <v>3</v>
      </c>
      <c r="J13" s="197"/>
    </row>
    <row r="14" spans="1:10" ht="83.25" customHeight="1" x14ac:dyDescent="0.25">
      <c r="A14" s="191">
        <v>3</v>
      </c>
      <c r="B14" s="168" t="s">
        <v>24</v>
      </c>
      <c r="C14" s="71" t="s">
        <v>115</v>
      </c>
      <c r="D14" s="80" t="s">
        <v>116</v>
      </c>
      <c r="E14" s="80" t="s">
        <v>117</v>
      </c>
      <c r="F14" s="80" t="s">
        <v>118</v>
      </c>
      <c r="G14" s="80" t="s">
        <v>119</v>
      </c>
      <c r="H14" s="80" t="s">
        <v>120</v>
      </c>
      <c r="I14" s="152">
        <v>5</v>
      </c>
      <c r="J14" s="197">
        <v>15</v>
      </c>
    </row>
    <row r="15" spans="1:10" ht="45" x14ac:dyDescent="0.25">
      <c r="A15" s="191"/>
      <c r="B15" s="168"/>
      <c r="C15" s="71" t="s">
        <v>121</v>
      </c>
      <c r="D15" s="80" t="s">
        <v>122</v>
      </c>
      <c r="E15" s="80" t="s">
        <v>123</v>
      </c>
      <c r="F15" s="80" t="s">
        <v>124</v>
      </c>
      <c r="G15" s="80" t="s">
        <v>125</v>
      </c>
      <c r="H15" s="80" t="s">
        <v>126</v>
      </c>
      <c r="I15" s="152"/>
      <c r="J15" s="197"/>
    </row>
    <row r="16" spans="1:10" ht="75" x14ac:dyDescent="0.25">
      <c r="A16" s="191"/>
      <c r="B16" s="168"/>
      <c r="C16" s="71" t="s">
        <v>133</v>
      </c>
      <c r="D16" s="80" t="s">
        <v>134</v>
      </c>
      <c r="E16" s="80" t="s">
        <v>254</v>
      </c>
      <c r="F16" s="80" t="s">
        <v>255</v>
      </c>
      <c r="G16" s="80" t="s">
        <v>256</v>
      </c>
      <c r="H16" s="29" t="s">
        <v>257</v>
      </c>
      <c r="I16" s="69">
        <v>4</v>
      </c>
      <c r="J16" s="197"/>
    </row>
    <row r="17" spans="1:10" ht="90" x14ac:dyDescent="0.25">
      <c r="A17" s="191"/>
      <c r="B17" s="168"/>
      <c r="C17" s="28" t="s">
        <v>139</v>
      </c>
      <c r="D17" s="80" t="s">
        <v>134</v>
      </c>
      <c r="E17" s="80" t="s">
        <v>135</v>
      </c>
      <c r="F17" s="80" t="s">
        <v>136</v>
      </c>
      <c r="G17" s="80" t="s">
        <v>137</v>
      </c>
      <c r="H17" s="80" t="s">
        <v>138</v>
      </c>
      <c r="I17" s="69">
        <v>5</v>
      </c>
      <c r="J17" s="197"/>
    </row>
    <row r="18" spans="1:10" ht="72" customHeight="1" x14ac:dyDescent="0.25">
      <c r="A18" s="191">
        <v>4</v>
      </c>
      <c r="B18" s="168" t="s">
        <v>31</v>
      </c>
      <c r="C18" s="28" t="s">
        <v>140</v>
      </c>
      <c r="D18" s="81" t="s">
        <v>141</v>
      </c>
      <c r="E18" s="81" t="s">
        <v>142</v>
      </c>
      <c r="F18" s="81" t="s">
        <v>143</v>
      </c>
      <c r="G18" s="28" t="s">
        <v>144</v>
      </c>
      <c r="H18" s="28" t="s">
        <v>145</v>
      </c>
      <c r="I18" s="69">
        <v>3</v>
      </c>
      <c r="J18" s="197">
        <v>20</v>
      </c>
    </row>
    <row r="19" spans="1:10" ht="45" x14ac:dyDescent="0.25">
      <c r="A19" s="191"/>
      <c r="B19" s="168"/>
      <c r="C19" s="28" t="s">
        <v>146</v>
      </c>
      <c r="D19" s="80" t="s">
        <v>147</v>
      </c>
      <c r="E19" s="80" t="s">
        <v>148</v>
      </c>
      <c r="F19" s="80" t="s">
        <v>149</v>
      </c>
      <c r="G19" s="80" t="s">
        <v>150</v>
      </c>
      <c r="H19" s="29" t="s">
        <v>151</v>
      </c>
      <c r="I19" s="69">
        <v>4</v>
      </c>
      <c r="J19" s="197"/>
    </row>
    <row r="20" spans="1:10" ht="60" x14ac:dyDescent="0.25">
      <c r="A20" s="191"/>
      <c r="B20" s="168"/>
      <c r="C20" s="28" t="s">
        <v>152</v>
      </c>
      <c r="D20" s="80" t="s">
        <v>153</v>
      </c>
      <c r="E20" s="80" t="s">
        <v>154</v>
      </c>
      <c r="F20" s="80" t="s">
        <v>155</v>
      </c>
      <c r="G20" s="80" t="s">
        <v>156</v>
      </c>
      <c r="H20" s="80" t="s">
        <v>157</v>
      </c>
      <c r="I20" s="69">
        <v>5</v>
      </c>
      <c r="J20" s="197"/>
    </row>
    <row r="21" spans="1:10" ht="90" x14ac:dyDescent="0.25">
      <c r="A21" s="191"/>
      <c r="B21" s="168"/>
      <c r="C21" s="28" t="s">
        <v>284</v>
      </c>
      <c r="D21" s="80" t="s">
        <v>159</v>
      </c>
      <c r="E21" s="80" t="s">
        <v>285</v>
      </c>
      <c r="F21" s="80" t="s">
        <v>286</v>
      </c>
      <c r="G21" s="80" t="s">
        <v>288</v>
      </c>
      <c r="H21" s="80" t="s">
        <v>289</v>
      </c>
      <c r="I21" s="69">
        <v>5</v>
      </c>
      <c r="J21" s="197"/>
    </row>
    <row r="22" spans="1:10" ht="90" x14ac:dyDescent="0.25">
      <c r="A22" s="192">
        <v>5</v>
      </c>
      <c r="B22" s="171" t="s">
        <v>164</v>
      </c>
      <c r="C22" s="28" t="s">
        <v>165</v>
      </c>
      <c r="D22" s="80" t="s">
        <v>166</v>
      </c>
      <c r="E22" s="80" t="s">
        <v>167</v>
      </c>
      <c r="F22" s="80" t="s">
        <v>168</v>
      </c>
      <c r="G22" s="80" t="s">
        <v>287</v>
      </c>
      <c r="H22" s="80" t="s">
        <v>170</v>
      </c>
      <c r="I22" s="47">
        <v>5</v>
      </c>
      <c r="J22" s="197">
        <v>25</v>
      </c>
    </row>
    <row r="23" spans="1:10" ht="90" x14ac:dyDescent="0.25">
      <c r="A23" s="192"/>
      <c r="B23" s="171"/>
      <c r="C23" s="28" t="s">
        <v>171</v>
      </c>
      <c r="D23" s="80" t="s">
        <v>279</v>
      </c>
      <c r="E23" s="80" t="s">
        <v>281</v>
      </c>
      <c r="F23" s="80" t="s">
        <v>280</v>
      </c>
      <c r="G23" s="31" t="s">
        <v>282</v>
      </c>
      <c r="H23" s="31" t="s">
        <v>283</v>
      </c>
      <c r="I23" s="47">
        <v>3</v>
      </c>
      <c r="J23" s="197"/>
    </row>
    <row r="24" spans="1:10" ht="56.25" customHeight="1" x14ac:dyDescent="0.25">
      <c r="A24" s="192"/>
      <c r="B24" s="171"/>
      <c r="C24" s="28" t="s">
        <v>177</v>
      </c>
      <c r="D24" s="80" t="s">
        <v>178</v>
      </c>
      <c r="E24" s="80" t="s">
        <v>179</v>
      </c>
      <c r="F24" s="80" t="s">
        <v>278</v>
      </c>
      <c r="G24" s="31" t="s">
        <v>276</v>
      </c>
      <c r="H24" s="31" t="s">
        <v>277</v>
      </c>
      <c r="I24" s="47">
        <v>3</v>
      </c>
      <c r="J24" s="197"/>
    </row>
    <row r="25" spans="1:10" ht="90" x14ac:dyDescent="0.25">
      <c r="A25" s="192"/>
      <c r="B25" s="171"/>
      <c r="C25" s="74" t="s">
        <v>183</v>
      </c>
      <c r="D25" s="80" t="s">
        <v>184</v>
      </c>
      <c r="E25" s="80" t="s">
        <v>185</v>
      </c>
      <c r="F25" s="80" t="s">
        <v>186</v>
      </c>
      <c r="G25" s="80" t="s">
        <v>259</v>
      </c>
      <c r="H25" s="80" t="s">
        <v>260</v>
      </c>
      <c r="I25" s="47">
        <v>5</v>
      </c>
      <c r="J25" s="197"/>
    </row>
    <row r="26" spans="1:10" ht="75" x14ac:dyDescent="0.25">
      <c r="A26" s="192"/>
      <c r="B26" s="171"/>
      <c r="C26" s="74" t="s">
        <v>275</v>
      </c>
      <c r="D26" s="80" t="s">
        <v>184</v>
      </c>
      <c r="E26" s="80" t="s">
        <v>190</v>
      </c>
      <c r="F26" s="80" t="s">
        <v>191</v>
      </c>
      <c r="G26" s="31" t="s">
        <v>192</v>
      </c>
      <c r="H26" s="31" t="s">
        <v>258</v>
      </c>
      <c r="I26" s="47">
        <v>3</v>
      </c>
      <c r="J26" s="197"/>
    </row>
    <row r="27" spans="1:10" ht="66.75" customHeight="1" x14ac:dyDescent="0.25">
      <c r="A27" s="73">
        <v>6</v>
      </c>
      <c r="B27" s="68" t="s">
        <v>246</v>
      </c>
      <c r="C27" s="28" t="s">
        <v>300</v>
      </c>
      <c r="D27" s="80" t="s">
        <v>299</v>
      </c>
      <c r="E27" s="80" t="s">
        <v>252</v>
      </c>
      <c r="F27" s="31" t="s">
        <v>253</v>
      </c>
      <c r="G27" s="31" t="s">
        <v>297</v>
      </c>
      <c r="H27" s="31" t="s">
        <v>298</v>
      </c>
      <c r="I27" s="47">
        <v>2</v>
      </c>
      <c r="J27" s="75">
        <v>5</v>
      </c>
    </row>
    <row r="28" spans="1:10" ht="90.75" customHeight="1" x14ac:dyDescent="0.25">
      <c r="A28" s="191">
        <v>7</v>
      </c>
      <c r="B28" s="168" t="s">
        <v>52</v>
      </c>
      <c r="C28" s="28" t="s">
        <v>217</v>
      </c>
      <c r="D28" s="80" t="s">
        <v>274</v>
      </c>
      <c r="E28" s="80" t="s">
        <v>231</v>
      </c>
      <c r="F28" s="80" t="s">
        <v>232</v>
      </c>
      <c r="G28" s="29" t="s">
        <v>233</v>
      </c>
      <c r="H28" s="29" t="s">
        <v>234</v>
      </c>
      <c r="I28" s="69">
        <v>3</v>
      </c>
      <c r="J28" s="195">
        <v>20</v>
      </c>
    </row>
    <row r="29" spans="1:10" ht="104.25" customHeight="1" x14ac:dyDescent="0.25">
      <c r="A29" s="191"/>
      <c r="B29" s="168"/>
      <c r="C29" s="28" t="s">
        <v>218</v>
      </c>
      <c r="D29" s="80" t="s">
        <v>235</v>
      </c>
      <c r="E29" s="80" t="s">
        <v>236</v>
      </c>
      <c r="F29" s="80" t="s">
        <v>237</v>
      </c>
      <c r="G29" s="29" t="s">
        <v>238</v>
      </c>
      <c r="H29" s="29" t="s">
        <v>239</v>
      </c>
      <c r="I29" s="69">
        <v>3</v>
      </c>
      <c r="J29" s="195"/>
    </row>
    <row r="30" spans="1:10" ht="75" x14ac:dyDescent="0.25">
      <c r="A30" s="191"/>
      <c r="B30" s="168"/>
      <c r="C30" s="28" t="s">
        <v>267</v>
      </c>
      <c r="D30" s="80" t="s">
        <v>268</v>
      </c>
      <c r="E30" s="80" t="s">
        <v>269</v>
      </c>
      <c r="F30" s="80" t="s">
        <v>271</v>
      </c>
      <c r="G30" s="29" t="s">
        <v>272</v>
      </c>
      <c r="H30" s="29" t="s">
        <v>273</v>
      </c>
      <c r="I30" s="69">
        <v>3</v>
      </c>
      <c r="J30" s="195"/>
    </row>
    <row r="31" spans="1:10" ht="96.75" customHeight="1" x14ac:dyDescent="0.25">
      <c r="A31" s="191"/>
      <c r="B31" s="168"/>
      <c r="C31" s="28" t="s">
        <v>220</v>
      </c>
      <c r="D31" s="80" t="s">
        <v>221</v>
      </c>
      <c r="E31" s="80" t="s">
        <v>222</v>
      </c>
      <c r="F31" s="29" t="s">
        <v>223</v>
      </c>
      <c r="G31" s="29" t="s">
        <v>270</v>
      </c>
      <c r="H31" s="29" t="s">
        <v>225</v>
      </c>
      <c r="I31" s="69">
        <v>2</v>
      </c>
      <c r="J31" s="195"/>
    </row>
    <row r="32" spans="1:10" ht="15.75" thickBot="1" x14ac:dyDescent="0.3">
      <c r="A32" s="76"/>
      <c r="B32" s="77"/>
      <c r="C32" s="78"/>
      <c r="D32" s="79"/>
      <c r="E32" s="79"/>
      <c r="F32" s="79"/>
      <c r="G32" s="79"/>
      <c r="H32" s="79"/>
      <c r="I32" s="69">
        <f>SUM(I6:I31)</f>
        <v>81</v>
      </c>
      <c r="J32" s="75">
        <f>SUM(J6:J31)</f>
        <v>120</v>
      </c>
    </row>
    <row r="33" spans="1:13" ht="15.75" thickBot="1" x14ac:dyDescent="0.3">
      <c r="A33" s="219" t="s">
        <v>310</v>
      </c>
      <c r="B33" s="220"/>
      <c r="C33" s="220"/>
      <c r="D33" s="220"/>
      <c r="E33" s="220"/>
      <c r="F33" s="220"/>
      <c r="G33" s="220"/>
      <c r="H33" s="220"/>
      <c r="I33" s="220"/>
      <c r="J33" s="221"/>
    </row>
    <row r="34" spans="1:13" ht="15.75" customHeight="1" thickBot="1" x14ac:dyDescent="0.3">
      <c r="A34" s="76" t="s">
        <v>311</v>
      </c>
      <c r="B34" s="82" t="s">
        <v>312</v>
      </c>
      <c r="C34" s="132" t="s">
        <v>313</v>
      </c>
      <c r="D34" s="133"/>
      <c r="E34" s="133"/>
      <c r="F34" s="133"/>
      <c r="G34" s="134"/>
      <c r="H34" s="216" t="s">
        <v>314</v>
      </c>
      <c r="I34" s="217"/>
      <c r="J34" s="218"/>
    </row>
    <row r="35" spans="1:13" ht="64.5" customHeight="1" x14ac:dyDescent="0.5">
      <c r="A35" s="76">
        <v>1</v>
      </c>
      <c r="B35" s="77" t="s">
        <v>315</v>
      </c>
      <c r="C35" s="198" t="s">
        <v>318</v>
      </c>
      <c r="D35" s="199"/>
      <c r="E35" s="199"/>
      <c r="F35" s="199"/>
      <c r="G35" s="200"/>
      <c r="H35" s="207"/>
      <c r="I35" s="208"/>
      <c r="J35" s="209"/>
      <c r="L35" s="222" t="s">
        <v>319</v>
      </c>
      <c r="M35" s="223">
        <f>AVERAGE(I6:I31)</f>
        <v>3.5217391304347827</v>
      </c>
    </row>
    <row r="36" spans="1:13" ht="84" customHeight="1" x14ac:dyDescent="0.25">
      <c r="A36" s="76">
        <v>2</v>
      </c>
      <c r="B36" s="77" t="s">
        <v>316</v>
      </c>
      <c r="C36" s="201"/>
      <c r="D36" s="202"/>
      <c r="E36" s="202"/>
      <c r="F36" s="202"/>
      <c r="G36" s="203"/>
      <c r="H36" s="210"/>
      <c r="I36" s="211"/>
      <c r="J36" s="212"/>
    </row>
    <row r="37" spans="1:13" ht="66" customHeight="1" x14ac:dyDescent="0.25">
      <c r="A37" s="76">
        <v>3</v>
      </c>
      <c r="B37" s="77" t="s">
        <v>317</v>
      </c>
      <c r="C37" s="204"/>
      <c r="D37" s="205"/>
      <c r="E37" s="205"/>
      <c r="F37" s="205"/>
      <c r="G37" s="206"/>
      <c r="H37" s="213"/>
      <c r="I37" s="214"/>
      <c r="J37" s="215"/>
    </row>
  </sheetData>
  <mergeCells count="39">
    <mergeCell ref="C35:G37"/>
    <mergeCell ref="H35:J37"/>
    <mergeCell ref="C34:G34"/>
    <mergeCell ref="H34:J34"/>
    <mergeCell ref="A33:J33"/>
    <mergeCell ref="J28:J31"/>
    <mergeCell ref="D4:J4"/>
    <mergeCell ref="B6:B8"/>
    <mergeCell ref="J6:J8"/>
    <mergeCell ref="J9:J13"/>
    <mergeCell ref="J14:J17"/>
    <mergeCell ref="J18:J21"/>
    <mergeCell ref="J22:J26"/>
    <mergeCell ref="A4:A5"/>
    <mergeCell ref="B4:B5"/>
    <mergeCell ref="C4:C5"/>
    <mergeCell ref="I6:I7"/>
    <mergeCell ref="A6:A8"/>
    <mergeCell ref="A9:A13"/>
    <mergeCell ref="B9:B13"/>
    <mergeCell ref="I9:I10"/>
    <mergeCell ref="A14:A17"/>
    <mergeCell ref="B14:B17"/>
    <mergeCell ref="I14:I15"/>
    <mergeCell ref="A28:A31"/>
    <mergeCell ref="B28:B31"/>
    <mergeCell ref="A18:A21"/>
    <mergeCell ref="B18:B21"/>
    <mergeCell ref="A22:A26"/>
    <mergeCell ref="B22:B26"/>
    <mergeCell ref="A1:B3"/>
    <mergeCell ref="C2:D2"/>
    <mergeCell ref="C3:D3"/>
    <mergeCell ref="C1:J1"/>
    <mergeCell ref="G2:G3"/>
    <mergeCell ref="H2:J2"/>
    <mergeCell ref="H3:J3"/>
    <mergeCell ref="E2:F2"/>
    <mergeCell ref="E3:F3"/>
  </mergeCells>
  <pageMargins left="0.31496062992125984" right="0.23622047244094491" top="0.35433070866141736" bottom="0.27559055118110237" header="0.31496062992125984" footer="0.31496062992125984"/>
  <pageSetup paperSize="9" scale="70" orientation="landscape"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dcterms:created xsi:type="dcterms:W3CDTF">2025-10-25T09:43:11Z</dcterms:created>
  <dcterms:modified xsi:type="dcterms:W3CDTF">2026-02-10T11:50:15Z</dcterms:modified>
</cp:coreProperties>
</file>