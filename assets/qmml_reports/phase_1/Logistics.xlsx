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mc:Choice>
  </mc:AlternateContent>
  <bookViews>
    <workbookView xWindow="0" yWindow="0" windowWidth="28800" windowHeight="12300" firstSheet="2"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sheet'!$A$1:$I$28</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sheet'!$1:$2</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3" l="1"/>
  <c r="J29" i="3"/>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0" authorId="0" shapeId="0">
      <text>
        <r>
          <rPr>
            <b/>
            <sz val="9"/>
            <color indexed="81"/>
            <rFont val="Tahoma"/>
            <family val="2"/>
          </rPr>
          <t>Rehana Sultana:</t>
        </r>
        <r>
          <rPr>
            <sz val="9"/>
            <color indexed="81"/>
            <rFont val="Tahoma"/>
            <family val="2"/>
          </rPr>
          <t xml:space="preserve">
Within VJNR </t>
        </r>
      </text>
    </comment>
    <comment ref="F10" authorId="0" shapeId="0">
      <text>
        <r>
          <rPr>
            <b/>
            <sz val="9"/>
            <color indexed="81"/>
            <rFont val="Tahoma"/>
            <family val="2"/>
          </rPr>
          <t>Rehana Sultana:</t>
        </r>
        <r>
          <rPr>
            <sz val="9"/>
            <color indexed="81"/>
            <rFont val="Tahoma"/>
            <family val="2"/>
          </rPr>
          <t xml:space="preserve">
Within VJNR, DOLVI, </t>
        </r>
      </text>
    </comment>
    <comment ref="G10" authorId="0" shapeId="0">
      <text>
        <r>
          <rPr>
            <b/>
            <sz val="9"/>
            <color indexed="81"/>
            <rFont val="Tahoma"/>
            <family val="2"/>
          </rPr>
          <t>Rehana Sultana:</t>
        </r>
        <r>
          <rPr>
            <sz val="9"/>
            <color indexed="81"/>
            <rFont val="Tahoma"/>
            <family val="2"/>
          </rPr>
          <t xml:space="preserve">
Competitor pan India TATA Steel, Arcelar Mittal, Hundai, MM</t>
        </r>
      </text>
    </comment>
    <comment ref="H10" authorId="0" shapeId="0">
      <text>
        <r>
          <rPr>
            <b/>
            <sz val="9"/>
            <color indexed="81"/>
            <rFont val="Tahoma"/>
            <family val="2"/>
          </rPr>
          <t>Rehana Sultana:</t>
        </r>
        <r>
          <rPr>
            <sz val="9"/>
            <color indexed="81"/>
            <rFont val="Tahoma"/>
            <family val="2"/>
          </rPr>
          <t xml:space="preserve">
POSCO, JFE</t>
        </r>
      </text>
    </comment>
    <comment ref="G24" authorId="0" shapeId="0">
      <text>
        <r>
          <rPr>
            <b/>
            <sz val="9"/>
            <color indexed="81"/>
            <rFont val="Tahoma"/>
            <family val="2"/>
          </rPr>
          <t>Rehana Sultana:</t>
        </r>
        <r>
          <rPr>
            <sz val="9"/>
            <color indexed="81"/>
            <rFont val="Tahoma"/>
            <family val="2"/>
          </rPr>
          <t xml:space="preserve">
Eg TATA, Arcellar Mittal, Hundai</t>
        </r>
      </text>
    </comment>
    <comment ref="H24"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<sst xmlns="http://schemas.openxmlformats.org/spreadsheetml/2006/main" count="452" uniqueCount="312">
  <si>
    <t>QUALITY MANAGEMENT MATURITY LEVEL</t>
  </si>
  <si>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</si>
  <si>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</si>
  <si>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</si>
  <si>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</si>
  <si>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</si>
  <si>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</si>
  <si>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</si>
  <si>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</si>
  <si>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</si>
  <si>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</si>
  <si>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</si>
  <si>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</si>
  <si>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</si>
  <si>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</si>
  <si>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</si>
  <si>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</si>
  <si>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</si>
  <si>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</si>
  <si>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</si>
  <si>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</si>
  <si>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</si>
  <si>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</si>
  <si>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</si>
  <si>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</si>
  <si>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</si>
  <si>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</si>
  <si>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</si>
  <si>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</si>
  <si>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</si>
  <si>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</si>
  <si>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</si>
  <si>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</si>
  <si>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</si>
  <si>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</si>
  <si>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</si>
  <si>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</si>
  <si>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</si>
  <si>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</si>
  <si>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</si>
  <si>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</si>
  <si>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</si>
  <si>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</si>
  <si>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</si>
  <si>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</si>
  <si>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</si>
  <si>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</si>
  <si>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</si>
  <si>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</si>
  <si>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</si>
  <si>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</si>
  <si>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</si>
  <si>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</si>
  <si>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</si>
  <si>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</si>
  <si>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</si>
  <si>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</si>
  <si>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</si>
  <si>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</si>
  <si>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</si>
  <si>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</si>
  <si>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</si>
  <si>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</si>
  <si>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</si>
  <si>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</si>
  <si>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</si>
  <si>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</si>
  <si>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</si>
  <si>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</si>
  <si>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</si>
  <si>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</si>
  <si>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</si>
  <si>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</si>
  <si>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</si>
  <si>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</si>
  <si>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</si>
  <si>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</si>
  <si>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</si>
  <si>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</si>
  <si>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</si>
  <si>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</si>
  <si>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</si>
  <si>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</si>
  <si>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Score card Maintained as per JSW TQM Critera</t>
  </si>
  <si>
    <t>Score card Maintained as per JSW TQM Critera fulfilling all the customer requirements</t>
  </si>
  <si>
    <t>Customer requirements 100 % compliance</t>
  </si>
  <si>
    <t>Customer requirements 100 % compliance along with Appreciation letters</t>
  </si>
  <si>
    <t># Customer score card/Survey -non- Automotive</t>
  </si>
  <si>
    <t>Score card Maintained as per JSW TQM Criteria</t>
  </si>
  <si>
    <t>Score card Maintained as per JSW TQM Criteria fulfilling all the customer requirements</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</si>
  <si>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</si>
  <si>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</si>
  <si>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</si>
  <si>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</si>
  <si>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</si>
  <si>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</si>
  <si>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</si>
  <si>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</si>
  <si>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</si>
  <si>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</si>
  <si>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</si>
  <si>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</si>
  <si>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</si>
  <si>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</si>
  <si>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</si>
  <si>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</si>
  <si>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</si>
  <si>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</si>
  <si>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</si>
  <si>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</si>
  <si>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</si>
  <si>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</si>
  <si>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</si>
  <si>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</si>
  <si>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</si>
  <si>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</si>
  <si>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</si>
  <si>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</si>
  <si>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</si>
  <si>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</si>
  <si>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</si>
  <si>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</si>
  <si>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</si>
  <si>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</si>
  <si>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</si>
  <si>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</si>
  <si>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</si>
  <si>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</si>
  <si>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</si>
  <si>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</si>
  <si>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</si>
  <si>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</si>
  <si>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</si>
  <si>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</si>
  <si>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</si>
  <si>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</si>
  <si>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</si>
  <si>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</si>
  <si>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</si>
  <si>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</si>
  <si>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</si>
  <si>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</si>
  <si>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</si>
  <si>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</si>
  <si>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</si>
  <si>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</si>
  <si>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</si>
  <si>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</si>
  <si>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</si>
  <si>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</si>
  <si>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</si>
  <si>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</si>
  <si>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</si>
  <si>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</si>
  <si>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</si>
  <si>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</si>
  <si>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</si>
  <si>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</si>
  <si>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</si>
  <si>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</si>
  <si>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</si>
  <si>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</si>
  <si>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</si>
  <si>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</si>
  <si>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</si>
  <si>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</si>
  <si>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</si>
  <si>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</si>
  <si>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</si>
  <si>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</si>
  <si>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</si>
  <si>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</si>
  <si>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</si>
  <si>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</si>
  <si>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</si>
  <si>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</si>
  <si>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</si>
  <si>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</si>
  <si>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</si>
  <si>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</si>
  <si>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</si>
  <si>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</si>
  <si>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</si>
  <si>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</si>
  <si>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</si>
  <si>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</si>
  <si>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</si>
  <si>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</si>
  <si>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</si>
  <si>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</si>
  <si>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</si>
  <si>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</si>
  <si>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</si>
  <si>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</si>
  <si>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</si>
  <si>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</si>
  <si>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</si>
  <si>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</si>
  <si>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Relationship Management</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</si>
  <si>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</si>
  <si>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</si>
  <si>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</si>
  <si>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</si>
  <si>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</si>
  <si>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</si>
  <si>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</si>
  <si>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</si>
  <si>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</si>
  <si>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</si>
  <si>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</si>
  <si>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</si>
  <si>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</si>
  <si>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</si>
  <si>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</si>
  <si>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</si>
  <si>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</si>
  <si>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</si>
  <si>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</si>
  <si>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</si>
  <si>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</si>
  <si>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</si>
  <si>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</si>
  <si>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</si>
  <si>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</si>
  <si>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</si>
  <si>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</si>
  <si>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</si>
  <si>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</si>
  <si>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 xml:space="preserve"># Kaizen &amp; effectiveness
M-KPI, C-KPI  </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</si>
  <si>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</si>
  <si>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</si>
  <si>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</si>
  <si>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</si>
  <si>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</si>
  <si>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 Project  &amp; effectiveness 
Objectives in OSM</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</si>
  <si>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</si>
  <si>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</si>
  <si>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</si>
  <si>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</si>
  <si>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</si>
  <si>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 CAPA effectiveness 
KPI- Gap Analysis</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</si>
  <si>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</si>
  <si>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</si>
  <si>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</si>
  <si>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</si>
  <si>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</si>
  <si>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</si>
  <si>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</si>
  <si>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</si>
  <si>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</si>
  <si>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</si>
  <si>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</si>
  <si>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identification of all customers.
ICS Index, MoU available for critical customers.</t>
  </si>
  <si>
    <t xml:space="preserve">ICS -100% </t>
  </si>
  <si>
    <t>ICS -100% along with Appreciation letters</t>
  </si>
  <si>
    <t>All customers identified.
CSR Maintained for Critical top 5 
Automative and 
Non Automotive Customers</t>
  </si>
  <si>
    <t xml:space="preserve">Average 80% Compliance </t>
  </si>
  <si>
    <t>Average 90% Compliance</t>
  </si>
  <si>
    <t>Average 100% Compliance</t>
  </si>
  <si>
    <t>Internal Customer/
External Customer</t>
  </si>
  <si>
    <t xml:space="preserve"># Company Vision
</t>
  </si>
  <si>
    <t># Department Business plan</t>
  </si>
  <si>
    <t>Business plan linked to department Associates+ contract Labours
100 % Compliance to ABP</t>
  </si>
  <si>
    <t># Policies</t>
  </si>
  <si>
    <t xml:space="preserve"># Roles &amp; responsibility </t>
  </si>
  <si>
    <t xml:space="preserve"># KPI </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</si>
  <si>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</si>
  <si>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</si>
  <si>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</si>
  <si>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</si>
  <si>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PDCA &amp; SDCA 
</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</si>
  <si>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</si>
  <si>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</si>
  <si>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</si>
  <si>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</si>
  <si>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Risk Assessment/ FMEA available all the risk identified, and analysed (High, Medium, Low)
all the high risk action taken</t>
  </si>
  <si>
    <t>Internal Audit (IA) plan available but IA  not conducted as per the plan</t>
  </si>
  <si>
    <t xml:space="preserve"> IA plan available and conducted as per the plan</t>
  </si>
  <si>
    <t xml:space="preserve"> IA plan available and  conducted as per the plan, On-time NC closed</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</si>
  <si>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</si>
  <si>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</si>
  <si>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Consecutive 2 years 0-Minor NC</t>
  </si>
  <si>
    <t>Consecutive 2 years 0-Minor NC,  positive note from Certification body</t>
  </si>
  <si>
    <t>Consecutive 3 years 0-Minor NC,  positive note from Certification body</t>
  </si>
  <si>
    <t>Management 7 tools (M7tools) used 
QFD
Kano Analysis
Affinity Diagram</t>
  </si>
  <si>
    <t>Higher end management tools
Value steem maping,  
Theory of inventive problem (TRIZ),
Bow Type risk analysis</t>
  </si>
  <si>
    <t xml:space="preserve"># Quantitative Analysis </t>
  </si>
  <si>
    <t>Statistical quantities analysis tools used
Statistical analysis using Hypothesis Testing analysis, Regression, DOE</t>
  </si>
  <si>
    <t># External Supplier</t>
  </si>
  <si>
    <t>Identification of Supplier, Identification of Critical top 2 Supplier</t>
  </si>
  <si>
    <t>Evolved system of Communication is established for critical suppliers</t>
  </si>
  <si>
    <t>Supplier audits being done 
(50% Compliance acceptable)</t>
  </si>
  <si>
    <t>Audit compliance been given by the supplier.</t>
  </si>
  <si>
    <t>Supplier actively participates in improving quality and standards.</t>
  </si>
  <si>
    <t>Kaizen available, own Criteria used</t>
  </si>
  <si>
    <t># Corrective action effectiveness 
KPI- Gap Analysis</t>
  </si>
  <si>
    <t>Corrective action available with own Criteria used</t>
  </si>
  <si>
    <t>Corrective action(CA) available with planned and TQM Criteria used</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</si>
  <si>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</si>
  <si>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</si>
  <si>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</si>
  <si>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DQC, Departmental TQM Council (DTC) meetings conducted with plan, linked to KPI, TQM activity support to improve 5%</t>
  </si>
  <si>
    <t>SCORE</t>
  </si>
  <si>
    <t>Specific Observations</t>
  </si>
  <si>
    <t>General Observations</t>
  </si>
  <si>
    <t>S N</t>
  </si>
  <si>
    <t>Evalauation Criteria</t>
  </si>
  <si>
    <t>There should be linkage between checklist and CSR.
structured review mechanism to be carried out.
RACI and sipoc to be mapped with process map.</t>
  </si>
  <si>
    <t>Customer focus is present but requires better consistency and structured documentation.
Leadership involvement is visible; however, clarity in direction and accountability needs strengthening.
Involvement of people is limited and requires improved participation and ownership.
Process approach is partially implemented, with scope for better standardization and control.
Evidence-based decision making is practiced but needs stronger data analysis and usage.
Relationship management exists but should be more structured and proactive.
Continuous improvement activities are carried out, but systematic monitoring and follow-up are required to embed improvement culture.</t>
  </si>
  <si>
    <t>Assessment Taken up</t>
  </si>
  <si>
    <t>Assessment Could not be completed De to Lack of Understanding</t>
  </si>
  <si>
    <t>Assessment Not taken up due to no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</si>
</sst>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sz val="11"/>
      <color rgb="FF006100"/>
      <name val="Calibri"/>
      <family val="2"/>
      <scheme val="minor"/>
    </font>
    <font>
      <b/>
      <sz val="11"/>
      <name val="Calibri"/>
      <family val="2"/>
      <scheme val="minor"/>
    </font>
    <font>
      <b/>
      <sz val="11"/>
      <color rgb="FF000000"/>
      <name val="Calibri"/>
      <family val="2"/>
    </font>
    <font>
      <b/>
      <sz val="18"/>
      <color rgb="FF000000"/>
      <name val="Calibri"/>
      <family val="2"/>
      <scheme val="minor"/>
    </font>
    <font>
      <b/>
      <sz val="18"/>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C6EFCE"/>
      </patternFill>
    </fill>
    <fill>
      <patternFill patternType="solid">
        <fgColor rgb="FFFFFF00"/>
        <bgColor indexed="64"/>
      </patternFill>
    </fill>
  </fills>
  <borders count="71">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rgb="FF000000"/>
      </left>
      <right/>
      <top style="thin">
        <color rgb="FF000000"/>
      </top>
      <bottom style="thin">
        <color rgb="FF000000"/>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9" fillId="6" borderId="0" applyNumberFormat="0" applyBorder="0" applyAlignment="0" applyProtection="0"/>
  </cellStyleXfs>
  <cellXfs count="187">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Border="1" applyAlignment="1">
      <alignment horizontal="center" vertical="center"/>
    </xf>
    <xf numFmtId="0" fontId="4" fillId="0" borderId="42" xfId="0" applyFont="1" applyBorder="1" applyAlignment="1">
      <alignment horizontal="left" vertical="center" wrapText="1"/>
    </xf>
    <xf numFmtId="0" fontId="0" fillId="0" borderId="42" xfId="0" applyBorder="1" applyAlignment="1">
      <alignment horizontal="left" vertical="center" wrapText="1"/>
    </xf>
    <xf numFmtId="0" fontId="0" fillId="0" borderId="53" xfId="0"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Border="1" applyAlignment="1">
      <alignment horizontal="left" vertical="center" wrapText="1"/>
    </xf>
    <xf numFmtId="0" fontId="4" fillId="0" borderId="47" xfId="0" applyFont="1" applyBorder="1" applyAlignment="1">
      <alignment horizontal="left" vertical="center" wrapText="1"/>
    </xf>
    <xf numFmtId="0" fontId="0" fillId="0" borderId="0" xfId="0" applyAlignment="1">
      <alignment horizontal="left" vertical="center" wrapText="1"/>
    </xf>
    <xf numFmtId="0" fontId="0" fillId="0" borderId="47" xfId="0" applyBorder="1" applyAlignment="1">
      <alignment horizontal="left" vertical="center" wrapText="1"/>
    </xf>
    <xf numFmtId="0" fontId="0" fillId="0" borderId="59" xfId="0" applyBorder="1" applyAlignment="1">
      <alignment horizontal="left" vertical="center" wrapText="1"/>
    </xf>
    <xf numFmtId="0" fontId="4" fillId="0" borderId="43" xfId="0" applyFont="1" applyBorder="1" applyAlignment="1">
      <alignment horizontal="left" wrapText="1"/>
    </xf>
    <xf numFmtId="0" fontId="4" fillId="0" borderId="45" xfId="0" applyFont="1" applyBorder="1" applyAlignment="1">
      <alignment horizontal="left" vertical="center" wrapText="1"/>
    </xf>
    <xf numFmtId="0" fontId="4" fillId="0" borderId="56" xfId="0" applyFont="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1" fillId="0" borderId="43" xfId="0" applyFont="1" applyBorder="1" applyAlignment="1">
      <alignment horizontal="left" vertical="center" wrapText="1"/>
    </xf>
    <xf numFmtId="0" fontId="1" fillId="0" borderId="44" xfId="0" applyFont="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Border="1" applyAlignment="1">
      <alignment horizontal="center" vertical="center"/>
    </xf>
    <xf numFmtId="0" fontId="4" fillId="0" borderId="43" xfId="0" applyFont="1" applyBorder="1" applyAlignment="1">
      <alignment vertical="center" wrapText="1"/>
    </xf>
    <xf numFmtId="0" fontId="0" fillId="0" borderId="43" xfId="0" applyBorder="1" applyAlignment="1">
      <alignment vertical="center"/>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0" fillId="0" borderId="0" xfId="0" applyAlignment="1">
      <alignment vertical="center" wrapText="1"/>
    </xf>
    <xf numFmtId="0" fontId="11" fillId="0" borderId="45" xfId="0" applyFont="1" applyBorder="1"/>
    <xf numFmtId="0" fontId="1" fillId="0" borderId="61" xfId="0" applyFont="1" applyBorder="1" applyAlignment="1">
      <alignment wrapText="1"/>
    </xf>
    <xf numFmtId="0" fontId="11" fillId="0" borderId="62" xfId="0" applyFont="1" applyBorder="1" applyAlignment="1">
      <alignment wrapText="1"/>
    </xf>
    <xf numFmtId="0" fontId="1" fillId="0" borderId="0" xfId="0" applyFont="1" applyBorder="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9" xfId="0"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Border="1" applyAlignment="1">
      <alignment horizontal="center"/>
    </xf>
    <xf numFmtId="0" fontId="0" fillId="0" borderId="64" xfId="0" applyBorder="1" applyAlignment="1">
      <alignment horizontal="left" vertical="center" wrapText="1"/>
    </xf>
    <xf numFmtId="0" fontId="0" fillId="0" borderId="65" xfId="0" applyBorder="1" applyAlignment="1">
      <alignment horizontal="left" vertical="center" wrapText="1"/>
    </xf>
    <xf numFmtId="0" fontId="0" fillId="0" borderId="0" xfId="0" applyAlignment="1">
      <alignment horizontal="left" vertical="center" wrapText="1"/>
    </xf>
    <xf numFmtId="0" fontId="0" fillId="0" borderId="67" xfId="0" applyBorder="1" applyAlignment="1">
      <alignment horizontal="left" vertical="center" wrapText="1"/>
    </xf>
    <xf numFmtId="0" fontId="0" fillId="0" borderId="69" xfId="0" applyBorder="1" applyAlignment="1">
      <alignment horizontal="left" vertical="center" wrapText="1"/>
    </xf>
    <xf numFmtId="0" fontId="0" fillId="0" borderId="70" xfId="0" applyBorder="1" applyAlignment="1">
      <alignment horizontal="left" vertical="center" wrapText="1"/>
    </xf>
    <xf numFmtId="0" fontId="0" fillId="0" borderId="64" xfId="0" applyBorder="1" applyAlignment="1">
      <alignment horizontal="center" wrapText="1"/>
    </xf>
    <xf numFmtId="0" fontId="0" fillId="0" borderId="65" xfId="0" applyBorder="1" applyAlignment="1">
      <alignment horizontal="center" wrapText="1"/>
    </xf>
    <xf numFmtId="0" fontId="0" fillId="0" borderId="61" xfId="0" applyBorder="1" applyAlignment="1">
      <alignment horizont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66" xfId="0" applyBorder="1" applyAlignment="1">
      <alignment horizontal="center" vertical="center" wrapText="1"/>
    </xf>
    <xf numFmtId="0" fontId="0" fillId="0" borderId="0" xfId="0" applyAlignment="1">
      <alignment horizontal="center" vertical="center" wrapText="1"/>
    </xf>
    <xf numFmtId="0" fontId="0" fillId="0" borderId="67" xfId="0"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0" borderId="70" xfId="0" applyBorder="1" applyAlignment="1">
      <alignment horizontal="center" vertical="center" wrapText="1"/>
    </xf>
    <xf numFmtId="0" fontId="1" fillId="0" borderId="43" xfId="0" applyFont="1" applyBorder="1" applyAlignment="1">
      <alignment horizontal="center" vertical="center"/>
    </xf>
    <xf numFmtId="0" fontId="0" fillId="0" borderId="43" xfId="0" applyBorder="1" applyAlignment="1">
      <alignment horizontal="center" vertical="center" wrapText="1"/>
    </xf>
    <xf numFmtId="0" fontId="12" fillId="7" borderId="0" xfId="1" applyFont="1" applyFill="1" applyBorder="1" applyAlignment="1">
      <alignment horizontal="center" vertical="center" wrapText="1"/>
    </xf>
    <xf numFmtId="0" fontId="10" fillId="7" borderId="0" xfId="1" applyFont="1" applyFill="1" applyBorder="1" applyAlignment="1">
      <alignment horizontal="center" vertical="center" wrapText="1"/>
    </xf>
    <xf numFmtId="0" fontId="10" fillId="0" borderId="0" xfId="1" applyFont="1" applyFill="1" applyBorder="1" applyAlignment="1">
      <alignment horizontal="center" vertical="center"/>
    </xf>
    <xf numFmtId="0" fontId="5" fillId="2" borderId="43"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43" xfId="0" applyBorder="1" applyAlignment="1">
      <alignment vertical="center"/>
    </xf>
    <xf numFmtId="0" fontId="1" fillId="0" borderId="43" xfId="0" applyFont="1" applyBorder="1" applyAlignment="1">
      <alignment horizontal="center"/>
    </xf>
    <xf numFmtId="0" fontId="13" fillId="7" borderId="0" xfId="1" applyFont="1" applyFill="1"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73"/>
      <c r="B1" s="74"/>
      <c r="C1" s="75" t="s">
        <v>0</v>
      </c>
      <c r="D1" s="76"/>
      <c r="E1" s="76"/>
      <c r="F1" s="76"/>
      <c r="G1" s="76"/>
      <c r="H1" s="76"/>
      <c r="I1" s="76"/>
      <c r="J1" s="76"/>
      <c r="K1" s="76"/>
      <c r="L1" s="76"/>
      <c r="M1" s="77"/>
    </row>
    <row r="2" spans="1:13" ht="29.25" customHeight="1" thickBot="1" x14ac:dyDescent="0.3">
      <c r="A2" s="1" t="s">
        <v>1</v>
      </c>
      <c r="B2" s="2" t="s">
        <v>2</v>
      </c>
      <c r="C2" s="3" t="s">
        <v>3</v>
      </c>
      <c r="D2" s="4" t="s">
        <v>4</v>
      </c>
      <c r="E2" s="4" t="s">
        <v>5</v>
      </c>
      <c r="F2" s="4" t="s">
        <v>6</v>
      </c>
      <c r="G2" s="5" t="s">
        <v>7</v>
      </c>
      <c r="H2" s="6" t="s">
        <v>8</v>
      </c>
      <c r="I2" s="7" t="s">
        <v>9</v>
      </c>
      <c r="J2" s="78" t="s">
        <v>10</v>
      </c>
      <c r="K2" s="79"/>
      <c r="L2" s="79"/>
      <c r="M2" s="80"/>
    </row>
    <row r="3" spans="1:13" ht="37.5" customHeight="1" x14ac:dyDescent="0.25">
      <c r="A3" s="81">
        <v>1</v>
      </c>
      <c r="B3" s="84" t="s">
        <v>11</v>
      </c>
      <c r="C3" s="87" t="s">
        <v>12</v>
      </c>
      <c r="D3" s="90" t="s">
        <v>13</v>
      </c>
      <c r="E3" s="90" t="s">
        <v>14</v>
      </c>
      <c r="F3" s="90" t="s">
        <v>15</v>
      </c>
      <c r="G3" s="90" t="s">
        <v>16</v>
      </c>
      <c r="H3" s="93" t="s">
        <v>17</v>
      </c>
      <c r="I3" s="96"/>
      <c r="J3" s="98"/>
      <c r="K3" s="99"/>
      <c r="L3" s="99"/>
      <c r="M3" s="100"/>
    </row>
    <row r="4" spans="1:13" x14ac:dyDescent="0.25">
      <c r="A4" s="82"/>
      <c r="B4" s="85"/>
      <c r="C4" s="88"/>
      <c r="D4" s="91"/>
      <c r="E4" s="91"/>
      <c r="F4" s="91"/>
      <c r="G4" s="91"/>
      <c r="H4" s="94"/>
      <c r="I4" s="96"/>
      <c r="J4" s="101"/>
      <c r="K4" s="102"/>
      <c r="L4" s="102"/>
      <c r="M4" s="103"/>
    </row>
    <row r="5" spans="1:13" ht="15.75" thickBot="1" x14ac:dyDescent="0.3">
      <c r="A5" s="83"/>
      <c r="B5" s="86"/>
      <c r="C5" s="89"/>
      <c r="D5" s="92"/>
      <c r="E5" s="92"/>
      <c r="F5" s="92"/>
      <c r="G5" s="92"/>
      <c r="H5" s="95"/>
      <c r="I5" s="97"/>
      <c r="J5" s="104"/>
      <c r="K5" s="105"/>
      <c r="L5" s="105"/>
      <c r="M5" s="106"/>
    </row>
    <row r="6" spans="1:13" x14ac:dyDescent="0.25">
      <c r="A6" s="107">
        <v>2</v>
      </c>
      <c r="B6" s="110" t="s">
        <v>18</v>
      </c>
      <c r="C6" s="113" t="s">
        <v>19</v>
      </c>
      <c r="D6" s="116" t="s">
        <v>20</v>
      </c>
      <c r="E6" s="116" t="s">
        <v>21</v>
      </c>
      <c r="F6" s="116" t="s">
        <v>22</v>
      </c>
      <c r="G6" s="119" t="s">
        <v>23</v>
      </c>
      <c r="H6" s="125" t="s">
        <v>24</v>
      </c>
      <c r="I6" s="128"/>
      <c r="J6" s="98"/>
      <c r="K6" s="99"/>
      <c r="L6" s="99"/>
      <c r="M6" s="100"/>
    </row>
    <row r="7" spans="1:13" ht="25.5" customHeight="1" x14ac:dyDescent="0.25">
      <c r="A7" s="108"/>
      <c r="B7" s="111"/>
      <c r="C7" s="114"/>
      <c r="D7" s="117"/>
      <c r="E7" s="117"/>
      <c r="F7" s="117"/>
      <c r="G7" s="120"/>
      <c r="H7" s="126"/>
      <c r="I7" s="96"/>
      <c r="J7" s="101"/>
      <c r="K7" s="102"/>
      <c r="L7" s="102"/>
      <c r="M7" s="103"/>
    </row>
    <row r="8" spans="1:13" ht="25.5" customHeight="1" x14ac:dyDescent="0.25">
      <c r="A8" s="108"/>
      <c r="B8" s="111"/>
      <c r="C8" s="114"/>
      <c r="D8" s="117"/>
      <c r="E8" s="117"/>
      <c r="F8" s="117"/>
      <c r="G8" s="120"/>
      <c r="H8" s="126"/>
      <c r="I8" s="96"/>
      <c r="J8" s="101"/>
      <c r="K8" s="102"/>
      <c r="L8" s="102"/>
      <c r="M8" s="103"/>
    </row>
    <row r="9" spans="1:13" ht="23.25" customHeight="1" thickBot="1" x14ac:dyDescent="0.3">
      <c r="A9" s="109"/>
      <c r="B9" s="112"/>
      <c r="C9" s="115"/>
      <c r="D9" s="118"/>
      <c r="E9" s="118"/>
      <c r="F9" s="118"/>
      <c r="G9" s="121"/>
      <c r="H9" s="127"/>
      <c r="I9" s="97"/>
      <c r="J9" s="101"/>
      <c r="K9" s="102"/>
      <c r="L9" s="102"/>
      <c r="M9" s="103"/>
    </row>
    <row r="10" spans="1:13" ht="63" customHeight="1" thickBot="1" x14ac:dyDescent="0.3">
      <c r="A10" s="8">
        <v>3</v>
      </c>
      <c r="B10" s="9" t="s">
        <v>25</v>
      </c>
      <c r="C10" s="10" t="s">
        <v>26</v>
      </c>
      <c r="D10" s="11" t="s">
        <v>27</v>
      </c>
      <c r="E10" s="11" t="s">
        <v>28</v>
      </c>
      <c r="F10" s="12" t="s">
        <v>29</v>
      </c>
      <c r="G10" s="12" t="s">
        <v>30</v>
      </c>
      <c r="H10" s="13" t="s">
        <v>31</v>
      </c>
      <c r="I10" s="14"/>
      <c r="J10" s="122"/>
      <c r="K10" s="123"/>
      <c r="L10" s="123"/>
      <c r="M10" s="124"/>
    </row>
    <row r="11" spans="1:13" ht="84.75" customHeight="1" thickBot="1" x14ac:dyDescent="0.3">
      <c r="A11" s="8">
        <v>4</v>
      </c>
      <c r="B11" s="15" t="s">
        <v>32</v>
      </c>
      <c r="C11" s="16" t="s">
        <v>33</v>
      </c>
      <c r="D11" s="17" t="s">
        <v>34</v>
      </c>
      <c r="E11" s="18" t="s">
        <v>35</v>
      </c>
      <c r="F11" s="17" t="s">
        <v>36</v>
      </c>
      <c r="G11" s="17" t="s">
        <v>37</v>
      </c>
      <c r="H11" s="19" t="s">
        <v>38</v>
      </c>
      <c r="I11" s="20"/>
      <c r="J11" s="98"/>
      <c r="K11" s="99"/>
      <c r="L11" s="99"/>
      <c r="M11" s="100"/>
    </row>
    <row r="12" spans="1:13" ht="78" customHeight="1" thickBot="1" x14ac:dyDescent="0.3">
      <c r="A12" s="21">
        <v>5</v>
      </c>
      <c r="B12" s="22" t="s">
        <v>39</v>
      </c>
      <c r="C12" s="16" t="s">
        <v>40</v>
      </c>
      <c r="D12" s="17" t="s">
        <v>41</v>
      </c>
      <c r="E12" s="18" t="s">
        <v>42</v>
      </c>
      <c r="F12" s="17" t="s">
        <v>43</v>
      </c>
      <c r="G12" s="17" t="s">
        <v>44</v>
      </c>
      <c r="H12" s="23" t="s">
        <v>45</v>
      </c>
      <c r="I12" s="20"/>
      <c r="J12" s="122"/>
      <c r="K12" s="123"/>
      <c r="L12" s="123"/>
      <c r="M12" s="124"/>
    </row>
    <row r="13" spans="1:13" ht="77.25" thickBot="1" x14ac:dyDescent="0.3">
      <c r="A13" s="21">
        <v>6</v>
      </c>
      <c r="B13" s="22" t="s">
        <v>46</v>
      </c>
      <c r="C13" s="16" t="s">
        <v>47</v>
      </c>
      <c r="D13" s="17" t="s">
        <v>48</v>
      </c>
      <c r="E13" s="18" t="s">
        <v>49</v>
      </c>
      <c r="F13" s="17" t="s">
        <v>50</v>
      </c>
      <c r="G13" s="17" t="s">
        <v>51</v>
      </c>
      <c r="H13" s="23" t="s">
        <v>52</v>
      </c>
      <c r="I13" s="20"/>
      <c r="J13" s="122"/>
      <c r="K13" s="123"/>
      <c r="L13" s="123"/>
      <c r="M13" s="124"/>
    </row>
    <row r="14" spans="1:13" ht="64.5" thickBot="1" x14ac:dyDescent="0.3">
      <c r="A14" s="21">
        <v>7</v>
      </c>
      <c r="B14" s="22" t="s">
        <v>53</v>
      </c>
      <c r="C14" s="16" t="s">
        <v>54</v>
      </c>
      <c r="D14" s="17" t="s">
        <v>55</v>
      </c>
      <c r="E14" s="18" t="s">
        <v>56</v>
      </c>
      <c r="F14" s="17" t="s">
        <v>57</v>
      </c>
      <c r="G14" s="17" t="s">
        <v>58</v>
      </c>
      <c r="H14" s="23" t="s">
        <v>59</v>
      </c>
      <c r="I14" s="20"/>
      <c r="J14" s="122"/>
      <c r="K14" s="123"/>
      <c r="L14" s="123"/>
      <c r="M14" s="124"/>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2" bestFit="1" customWidth="1"/>
    <col min="2" max="2" width="18.140625" style="53" customWidth="1"/>
    <col min="3" max="3" width="23.85546875" customWidth="1"/>
    <col min="4" max="8" width="27.85546875" style="54" customWidth="1"/>
    <col min="9" max="9" width="11.5703125" style="55" customWidth="1"/>
  </cols>
  <sheetData>
    <row r="1" spans="1:9" ht="18.75" x14ac:dyDescent="0.25">
      <c r="A1" s="129" t="s">
        <v>60</v>
      </c>
      <c r="B1" s="131" t="s">
        <v>61</v>
      </c>
      <c r="C1" s="133" t="s">
        <v>3</v>
      </c>
      <c r="D1" s="135" t="s">
        <v>62</v>
      </c>
      <c r="E1" s="135"/>
      <c r="F1" s="135"/>
      <c r="G1" s="135"/>
      <c r="H1" s="135"/>
      <c r="I1" s="135"/>
    </row>
    <row r="2" spans="1:9" s="27" customFormat="1" ht="18.75" x14ac:dyDescent="0.3">
      <c r="A2" s="130"/>
      <c r="B2" s="132"/>
      <c r="C2" s="134"/>
      <c r="D2" s="24" t="s">
        <v>63</v>
      </c>
      <c r="E2" s="24" t="s">
        <v>64</v>
      </c>
      <c r="F2" s="24" t="s">
        <v>65</v>
      </c>
      <c r="G2" s="24" t="s">
        <v>66</v>
      </c>
      <c r="H2" s="25" t="s">
        <v>67</v>
      </c>
      <c r="I2" s="26" t="s">
        <v>68</v>
      </c>
    </row>
    <row r="3" spans="1:9" ht="21.75" customHeight="1" x14ac:dyDescent="0.25">
      <c r="A3" s="136">
        <v>1</v>
      </c>
      <c r="B3" s="139" t="s">
        <v>11</v>
      </c>
      <c r="C3" s="28" t="s">
        <v>69</v>
      </c>
      <c r="D3" s="29" t="s">
        <v>70</v>
      </c>
      <c r="E3" s="29" t="s">
        <v>71</v>
      </c>
      <c r="F3" s="29" t="s">
        <v>72</v>
      </c>
      <c r="G3" s="29" t="s">
        <v>73</v>
      </c>
      <c r="H3" s="30" t="s">
        <v>74</v>
      </c>
      <c r="I3" s="142">
        <v>5</v>
      </c>
    </row>
    <row r="4" spans="1:9" ht="36" customHeight="1" x14ac:dyDescent="0.25">
      <c r="A4" s="137"/>
      <c r="B4" s="140"/>
      <c r="C4" s="28" t="s">
        <v>75</v>
      </c>
      <c r="D4" s="29" t="s">
        <v>76</v>
      </c>
      <c r="E4" s="29" t="s">
        <v>77</v>
      </c>
      <c r="F4" s="29" t="s">
        <v>78</v>
      </c>
      <c r="G4" s="29" t="s">
        <v>79</v>
      </c>
      <c r="H4" s="30" t="s">
        <v>80</v>
      </c>
      <c r="I4" s="142"/>
    </row>
    <row r="5" spans="1:9" ht="71.25" customHeight="1" x14ac:dyDescent="0.25">
      <c r="A5" s="137"/>
      <c r="B5" s="140"/>
      <c r="C5" s="28" t="s">
        <v>81</v>
      </c>
      <c r="D5" s="29" t="s">
        <v>82</v>
      </c>
      <c r="E5" s="29" t="s">
        <v>83</v>
      </c>
      <c r="F5" s="29" t="s">
        <v>84</v>
      </c>
      <c r="G5" s="29" t="s">
        <v>85</v>
      </c>
      <c r="H5" s="30" t="s">
        <v>86</v>
      </c>
      <c r="I5" s="42">
        <v>5</v>
      </c>
    </row>
    <row r="6" spans="1:9" ht="71.25" customHeight="1" thickBot="1" x14ac:dyDescent="0.3">
      <c r="A6" s="138"/>
      <c r="B6" s="141"/>
      <c r="C6" s="28" t="s">
        <v>87</v>
      </c>
      <c r="D6" s="29" t="s">
        <v>82</v>
      </c>
      <c r="E6" s="29" t="s">
        <v>88</v>
      </c>
      <c r="F6" s="29" t="s">
        <v>89</v>
      </c>
      <c r="G6" s="29" t="s">
        <v>85</v>
      </c>
      <c r="H6" s="30" t="s">
        <v>86</v>
      </c>
      <c r="I6" s="43">
        <v>5</v>
      </c>
    </row>
    <row r="7" spans="1:9" ht="30" x14ac:dyDescent="0.25">
      <c r="A7" s="143">
        <v>2</v>
      </c>
      <c r="B7" s="146" t="s">
        <v>18</v>
      </c>
      <c r="C7" s="32" t="s">
        <v>90</v>
      </c>
      <c r="D7" s="33" t="s">
        <v>91</v>
      </c>
      <c r="E7" s="33" t="s">
        <v>92</v>
      </c>
      <c r="F7" s="33" t="s">
        <v>93</v>
      </c>
      <c r="G7" s="33" t="s">
        <v>94</v>
      </c>
      <c r="H7" s="34" t="s">
        <v>95</v>
      </c>
      <c r="I7" s="142">
        <v>5</v>
      </c>
    </row>
    <row r="8" spans="1:9" ht="60" x14ac:dyDescent="0.25">
      <c r="A8" s="144">
        <v>2</v>
      </c>
      <c r="B8" s="140"/>
      <c r="C8" s="35" t="s">
        <v>96</v>
      </c>
      <c r="D8" s="29" t="s">
        <v>97</v>
      </c>
      <c r="E8" s="29" t="s">
        <v>98</v>
      </c>
      <c r="F8" s="29" t="s">
        <v>99</v>
      </c>
      <c r="G8" s="29" t="s">
        <v>100</v>
      </c>
      <c r="H8" s="30" t="s">
        <v>101</v>
      </c>
      <c r="I8" s="142"/>
    </row>
    <row r="9" spans="1:9" ht="30" x14ac:dyDescent="0.25">
      <c r="A9" s="144"/>
      <c r="B9" s="140"/>
      <c r="C9" s="35" t="s">
        <v>102</v>
      </c>
      <c r="D9" s="29" t="s">
        <v>103</v>
      </c>
      <c r="E9" s="29" t="s">
        <v>104</v>
      </c>
      <c r="F9" s="29" t="s">
        <v>105</v>
      </c>
      <c r="G9" s="29" t="s">
        <v>106</v>
      </c>
      <c r="H9" s="30" t="s">
        <v>107</v>
      </c>
      <c r="I9" s="31">
        <v>5</v>
      </c>
    </row>
    <row r="10" spans="1:9" ht="60" x14ac:dyDescent="0.25">
      <c r="A10" s="144"/>
      <c r="B10" s="140"/>
      <c r="C10" s="58" t="s">
        <v>108</v>
      </c>
      <c r="D10" s="29" t="s">
        <v>109</v>
      </c>
      <c r="E10" s="29" t="s">
        <v>110</v>
      </c>
      <c r="F10" s="29" t="s">
        <v>111</v>
      </c>
      <c r="G10" s="29" t="s">
        <v>112</v>
      </c>
      <c r="H10" s="30" t="s">
        <v>113</v>
      </c>
      <c r="I10" s="31">
        <v>5</v>
      </c>
    </row>
    <row r="11" spans="1:9" ht="45.75" thickBot="1" x14ac:dyDescent="0.3">
      <c r="A11" s="145"/>
      <c r="B11" s="141"/>
      <c r="C11" s="36" t="s">
        <v>114</v>
      </c>
      <c r="D11" s="37" t="s">
        <v>115</v>
      </c>
      <c r="E11" s="37" t="s">
        <v>116</v>
      </c>
      <c r="F11" s="37" t="s">
        <v>117</v>
      </c>
      <c r="G11" s="37" t="s">
        <v>118</v>
      </c>
      <c r="H11" s="38" t="s">
        <v>119</v>
      </c>
      <c r="I11" s="31">
        <v>5</v>
      </c>
    </row>
    <row r="12" spans="1:9" ht="83.25" customHeight="1" x14ac:dyDescent="0.25">
      <c r="A12" s="147">
        <v>3</v>
      </c>
      <c r="B12" s="146" t="s">
        <v>25</v>
      </c>
      <c r="C12" s="39" t="s">
        <v>120</v>
      </c>
      <c r="D12" s="40" t="s">
        <v>121</v>
      </c>
      <c r="E12" s="40" t="s">
        <v>122</v>
      </c>
      <c r="F12" s="40" t="s">
        <v>123</v>
      </c>
      <c r="G12" s="40" t="s">
        <v>124</v>
      </c>
      <c r="H12" s="41" t="s">
        <v>125</v>
      </c>
      <c r="I12" s="151">
        <v>5</v>
      </c>
    </row>
    <row r="13" spans="1:9" ht="45" x14ac:dyDescent="0.25">
      <c r="A13" s="148"/>
      <c r="B13" s="140"/>
      <c r="C13" s="35" t="s">
        <v>126</v>
      </c>
      <c r="D13" s="29" t="s">
        <v>127</v>
      </c>
      <c r="E13" s="29" t="s">
        <v>128</v>
      </c>
      <c r="F13" s="29" t="s">
        <v>129</v>
      </c>
      <c r="G13" s="29" t="s">
        <v>130</v>
      </c>
      <c r="H13" s="30" t="s">
        <v>131</v>
      </c>
      <c r="I13" s="152"/>
    </row>
    <row r="14" spans="1:9" ht="63" customHeight="1" x14ac:dyDescent="0.25">
      <c r="A14" s="148"/>
      <c r="B14" s="140"/>
      <c r="C14" s="35" t="s">
        <v>132</v>
      </c>
      <c r="D14" s="29" t="s">
        <v>133</v>
      </c>
      <c r="E14" s="29" t="s">
        <v>134</v>
      </c>
      <c r="F14" s="29" t="s">
        <v>135</v>
      </c>
      <c r="G14" s="29" t="s">
        <v>136</v>
      </c>
      <c r="H14" s="30" t="s">
        <v>137</v>
      </c>
      <c r="I14" s="42">
        <v>5</v>
      </c>
    </row>
    <row r="15" spans="1:9" ht="90" x14ac:dyDescent="0.25">
      <c r="A15" s="148"/>
      <c r="B15" s="140"/>
      <c r="C15" s="35" t="s">
        <v>138</v>
      </c>
      <c r="D15" s="29" t="s">
        <v>139</v>
      </c>
      <c r="E15" s="29" t="s">
        <v>140</v>
      </c>
      <c r="F15" s="29" t="s">
        <v>141</v>
      </c>
      <c r="G15" s="29" t="s">
        <v>142</v>
      </c>
      <c r="H15" s="30" t="s">
        <v>143</v>
      </c>
      <c r="I15" s="43">
        <v>5</v>
      </c>
    </row>
    <row r="16" spans="1:9" ht="90" x14ac:dyDescent="0.25">
      <c r="A16" s="149"/>
      <c r="B16" s="150"/>
      <c r="C16" s="28" t="s">
        <v>144</v>
      </c>
      <c r="D16" s="29" t="s">
        <v>139</v>
      </c>
      <c r="E16" s="29" t="s">
        <v>140</v>
      </c>
      <c r="F16" s="29" t="s">
        <v>141</v>
      </c>
      <c r="G16" s="29" t="s">
        <v>142</v>
      </c>
      <c r="H16" s="30" t="s">
        <v>143</v>
      </c>
      <c r="I16" s="31">
        <v>5</v>
      </c>
    </row>
    <row r="17" spans="1:9" ht="72" customHeight="1" x14ac:dyDescent="0.25">
      <c r="A17" s="154">
        <v>4</v>
      </c>
      <c r="B17" s="156" t="s">
        <v>32</v>
      </c>
      <c r="C17" s="28" t="s">
        <v>145</v>
      </c>
      <c r="D17" s="28" t="s">
        <v>146</v>
      </c>
      <c r="E17" s="28" t="s">
        <v>147</v>
      </c>
      <c r="F17" s="28" t="s">
        <v>148</v>
      </c>
      <c r="G17" s="28" t="s">
        <v>149</v>
      </c>
      <c r="H17" s="44" t="s">
        <v>150</v>
      </c>
      <c r="I17" s="31">
        <v>5</v>
      </c>
    </row>
    <row r="18" spans="1:9" ht="45" x14ac:dyDescent="0.25">
      <c r="A18" s="154"/>
      <c r="B18" s="156"/>
      <c r="C18" s="28" t="s">
        <v>151</v>
      </c>
      <c r="D18" s="29" t="s">
        <v>152</v>
      </c>
      <c r="E18" s="29" t="s">
        <v>153</v>
      </c>
      <c r="F18" s="29" t="s">
        <v>154</v>
      </c>
      <c r="G18" s="29" t="s">
        <v>155</v>
      </c>
      <c r="H18" s="30" t="s">
        <v>156</v>
      </c>
      <c r="I18" s="31">
        <v>5</v>
      </c>
    </row>
    <row r="19" spans="1:9" ht="60" x14ac:dyDescent="0.25">
      <c r="A19" s="154"/>
      <c r="B19" s="156"/>
      <c r="C19" s="28" t="s">
        <v>157</v>
      </c>
      <c r="D19" s="29" t="s">
        <v>158</v>
      </c>
      <c r="E19" s="29" t="s">
        <v>159</v>
      </c>
      <c r="F19" s="29" t="s">
        <v>160</v>
      </c>
      <c r="G19" s="29" t="s">
        <v>161</v>
      </c>
      <c r="H19" s="30" t="s">
        <v>162</v>
      </c>
      <c r="I19" s="31">
        <v>5</v>
      </c>
    </row>
    <row r="20" spans="1:9" ht="76.5" x14ac:dyDescent="0.25">
      <c r="A20" s="154"/>
      <c r="B20" s="156"/>
      <c r="C20" s="28" t="s">
        <v>163</v>
      </c>
      <c r="D20" s="29" t="s">
        <v>164</v>
      </c>
      <c r="E20" s="29" t="s">
        <v>165</v>
      </c>
      <c r="F20" s="29" t="s">
        <v>166</v>
      </c>
      <c r="G20" s="29" t="s">
        <v>167</v>
      </c>
      <c r="H20" s="30" t="s">
        <v>168</v>
      </c>
      <c r="I20" s="31">
        <v>5</v>
      </c>
    </row>
    <row r="21" spans="1:9" ht="90" x14ac:dyDescent="0.25">
      <c r="A21" s="158">
        <v>5</v>
      </c>
      <c r="B21" s="156" t="s">
        <v>169</v>
      </c>
      <c r="C21" s="28" t="s">
        <v>170</v>
      </c>
      <c r="D21" s="29" t="s">
        <v>171</v>
      </c>
      <c r="E21" s="29" t="s">
        <v>172</v>
      </c>
      <c r="F21" s="29" t="s">
        <v>173</v>
      </c>
      <c r="G21" s="29" t="s">
        <v>174</v>
      </c>
      <c r="H21" s="30" t="s">
        <v>175</v>
      </c>
      <c r="I21" s="31">
        <v>5</v>
      </c>
    </row>
    <row r="22" spans="1:9" ht="90" x14ac:dyDescent="0.25">
      <c r="A22" s="158"/>
      <c r="B22" s="156"/>
      <c r="C22" s="28" t="s">
        <v>176</v>
      </c>
      <c r="D22" s="29" t="s">
        <v>177</v>
      </c>
      <c r="E22" s="29" t="s">
        <v>178</v>
      </c>
      <c r="F22" s="29" t="s">
        <v>179</v>
      </c>
      <c r="G22" s="29" t="s">
        <v>180</v>
      </c>
      <c r="H22" s="30" t="s">
        <v>181</v>
      </c>
      <c r="I22" s="31">
        <v>5</v>
      </c>
    </row>
    <row r="23" spans="1:9" ht="56.25" customHeight="1" x14ac:dyDescent="0.25">
      <c r="A23" s="158"/>
      <c r="B23" s="156"/>
      <c r="C23" s="28" t="s">
        <v>182</v>
      </c>
      <c r="D23" s="29" t="s">
        <v>183</v>
      </c>
      <c r="E23" s="29" t="s">
        <v>184</v>
      </c>
      <c r="F23" s="29" t="s">
        <v>185</v>
      </c>
      <c r="G23" s="29" t="s">
        <v>186</v>
      </c>
      <c r="H23" s="30" t="s">
        <v>187</v>
      </c>
      <c r="I23" s="31">
        <v>5</v>
      </c>
    </row>
    <row r="24" spans="1:9" ht="90" x14ac:dyDescent="0.25">
      <c r="A24" s="158"/>
      <c r="B24" s="156"/>
      <c r="C24" s="45" t="s">
        <v>188</v>
      </c>
      <c r="D24" s="46" t="s">
        <v>189</v>
      </c>
      <c r="E24" s="46" t="s">
        <v>190</v>
      </c>
      <c r="F24" s="46" t="s">
        <v>191</v>
      </c>
      <c r="G24" s="47" t="s">
        <v>192</v>
      </c>
      <c r="H24" s="48" t="s">
        <v>193</v>
      </c>
      <c r="I24" s="31">
        <v>5</v>
      </c>
    </row>
    <row r="25" spans="1:9" ht="90" x14ac:dyDescent="0.25">
      <c r="A25" s="158"/>
      <c r="B25" s="156"/>
      <c r="C25" s="49" t="s">
        <v>194</v>
      </c>
      <c r="D25" s="29" t="s">
        <v>189</v>
      </c>
      <c r="E25" s="29" t="s">
        <v>195</v>
      </c>
      <c r="F25" s="29" t="s">
        <v>196</v>
      </c>
      <c r="G25" s="29" t="s">
        <v>197</v>
      </c>
      <c r="H25" s="30" t="s">
        <v>193</v>
      </c>
      <c r="I25" s="31">
        <v>5</v>
      </c>
    </row>
    <row r="26" spans="1:9" ht="66.75" customHeight="1" x14ac:dyDescent="0.25">
      <c r="A26" s="154">
        <v>6</v>
      </c>
      <c r="B26" s="156" t="s">
        <v>198</v>
      </c>
      <c r="C26" s="50" t="s">
        <v>199</v>
      </c>
      <c r="D26" s="46" t="s">
        <v>200</v>
      </c>
      <c r="E26" s="40" t="s">
        <v>201</v>
      </c>
      <c r="F26" s="40" t="s">
        <v>202</v>
      </c>
      <c r="G26" s="40" t="s">
        <v>203</v>
      </c>
      <c r="H26" s="41" t="s">
        <v>204</v>
      </c>
      <c r="I26" s="151">
        <v>5</v>
      </c>
    </row>
    <row r="27" spans="1:9" ht="75" x14ac:dyDescent="0.25">
      <c r="A27" s="154"/>
      <c r="B27" s="156"/>
      <c r="C27" s="28" t="s">
        <v>205</v>
      </c>
      <c r="D27" s="29" t="s">
        <v>206</v>
      </c>
      <c r="E27" s="40" t="s">
        <v>207</v>
      </c>
      <c r="F27" s="40" t="s">
        <v>208</v>
      </c>
      <c r="G27" s="40" t="s">
        <v>209</v>
      </c>
      <c r="H27" s="41" t="s">
        <v>210</v>
      </c>
      <c r="I27" s="153"/>
    </row>
    <row r="28" spans="1:9" ht="60" x14ac:dyDescent="0.25">
      <c r="A28" s="154"/>
      <c r="B28" s="156"/>
      <c r="C28" s="28" t="s">
        <v>211</v>
      </c>
      <c r="D28" s="29" t="s">
        <v>212</v>
      </c>
      <c r="E28" s="29" t="s">
        <v>213</v>
      </c>
      <c r="F28" s="29" t="s">
        <v>214</v>
      </c>
      <c r="G28" s="29" t="s">
        <v>215</v>
      </c>
      <c r="H28" s="30" t="s">
        <v>216</v>
      </c>
      <c r="I28" s="153"/>
    </row>
    <row r="29" spans="1:9" ht="45" x14ac:dyDescent="0.25">
      <c r="A29" s="154"/>
      <c r="B29" s="156"/>
      <c r="C29" s="28" t="s">
        <v>217</v>
      </c>
      <c r="D29" s="29" t="s">
        <v>218</v>
      </c>
      <c r="E29" s="29" t="s">
        <v>219</v>
      </c>
      <c r="F29" s="29" t="s">
        <v>220</v>
      </c>
      <c r="G29" s="29" t="s">
        <v>221</v>
      </c>
      <c r="H29" s="30" t="s">
        <v>222</v>
      </c>
      <c r="I29" s="152"/>
    </row>
    <row r="30" spans="1:9" ht="72.75" customHeight="1" x14ac:dyDescent="0.25">
      <c r="A30" s="57"/>
      <c r="B30" s="56"/>
      <c r="C30" s="28"/>
      <c r="D30" s="29" t="s">
        <v>223</v>
      </c>
      <c r="E30" s="29" t="s">
        <v>224</v>
      </c>
      <c r="F30" s="29" t="s">
        <v>225</v>
      </c>
      <c r="G30" s="29" t="s">
        <v>226</v>
      </c>
      <c r="H30" s="29" t="s">
        <v>227</v>
      </c>
      <c r="I30" s="43"/>
    </row>
    <row r="31" spans="1:9" ht="90.75" customHeight="1" x14ac:dyDescent="0.25">
      <c r="A31" s="154">
        <v>7</v>
      </c>
      <c r="B31" s="156" t="s">
        <v>53</v>
      </c>
      <c r="C31" s="28" t="s">
        <v>228</v>
      </c>
      <c r="D31" s="29" t="s">
        <v>229</v>
      </c>
      <c r="E31" s="29" t="s">
        <v>230</v>
      </c>
      <c r="F31" s="29" t="s">
        <v>231</v>
      </c>
      <c r="G31" s="29" t="s">
        <v>232</v>
      </c>
      <c r="H31" s="30" t="s">
        <v>233</v>
      </c>
      <c r="I31" s="31">
        <v>5</v>
      </c>
    </row>
    <row r="32" spans="1:9" ht="104.25" customHeight="1" x14ac:dyDescent="0.25">
      <c r="A32" s="154"/>
      <c r="B32" s="156"/>
      <c r="C32" s="28" t="s">
        <v>234</v>
      </c>
      <c r="D32" s="29" t="s">
        <v>235</v>
      </c>
      <c r="E32" s="29" t="s">
        <v>236</v>
      </c>
      <c r="F32" s="29" t="s">
        <v>237</v>
      </c>
      <c r="G32" s="29" t="s">
        <v>238</v>
      </c>
      <c r="H32" s="30" t="s">
        <v>239</v>
      </c>
      <c r="I32" s="31">
        <v>5</v>
      </c>
    </row>
    <row r="33" spans="1:9" ht="75" x14ac:dyDescent="0.25">
      <c r="A33" s="154"/>
      <c r="B33" s="156"/>
      <c r="C33" s="28" t="s">
        <v>240</v>
      </c>
      <c r="D33" s="29" t="s">
        <v>241</v>
      </c>
      <c r="E33" s="29" t="s">
        <v>242</v>
      </c>
      <c r="F33" s="29" t="s">
        <v>243</v>
      </c>
      <c r="G33" s="29" t="s">
        <v>244</v>
      </c>
      <c r="H33" s="30" t="s">
        <v>245</v>
      </c>
      <c r="I33" s="31">
        <v>5</v>
      </c>
    </row>
    <row r="34" spans="1:9" ht="96.75" customHeight="1" thickBot="1" x14ac:dyDescent="0.3">
      <c r="A34" s="155"/>
      <c r="B34" s="157"/>
      <c r="C34" s="51" t="s">
        <v>246</v>
      </c>
      <c r="D34" s="37" t="s">
        <v>247</v>
      </c>
      <c r="E34" s="37" t="s">
        <v>248</v>
      </c>
      <c r="F34" s="37" t="s">
        <v>249</v>
      </c>
      <c r="G34" s="37" t="s">
        <v>250</v>
      </c>
      <c r="H34" s="38" t="s">
        <v>251</v>
      </c>
      <c r="I34" s="31">
        <v>5</v>
      </c>
    </row>
    <row r="35" spans="1:9" x14ac:dyDescent="0.25">
      <c r="I35" s="31">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2"/>
  <sheetViews>
    <sheetView tabSelected="1" zoomScaleNormal="100" zoomScaleSheetLayoutView="80" workbookViewId="0">
      <pane xSplit="2" ySplit="2" topLeftCell="C33" activePane="bottomRight" state="frozen"/>
      <selection pane="topRight" activeCell="C1" sqref="C1"/>
      <selection pane="bottomLeft" activeCell="A4" sqref="A4"/>
      <selection pane="bottomRight" activeCell="I29" sqref="I29"/>
    </sheetView>
  </sheetViews>
  <sheetFormatPr defaultRowHeight="15" x14ac:dyDescent="0.25"/>
  <cols>
    <col min="1" max="1" width="5.7109375" style="52" bestFit="1" customWidth="1"/>
    <col min="2" max="2" width="18.140625" style="53" customWidth="1"/>
    <col min="3" max="3" width="23.85546875" customWidth="1"/>
    <col min="4" max="8" width="27.85546875" style="54" customWidth="1"/>
    <col min="9" max="9" width="11.5703125" style="55" customWidth="1"/>
  </cols>
  <sheetData>
    <row r="1" spans="1:10" ht="18.75" x14ac:dyDescent="0.25">
      <c r="A1" s="182" t="s">
        <v>60</v>
      </c>
      <c r="B1" s="132" t="s">
        <v>61</v>
      </c>
      <c r="C1" s="134" t="s">
        <v>3</v>
      </c>
      <c r="D1" s="135" t="s">
        <v>62</v>
      </c>
      <c r="E1" s="135"/>
      <c r="F1" s="135"/>
      <c r="G1" s="135"/>
      <c r="H1" s="135"/>
      <c r="I1" s="135"/>
      <c r="J1" s="135"/>
    </row>
    <row r="2" spans="1:10" s="27" customFormat="1" ht="18.75" x14ac:dyDescent="0.3">
      <c r="A2" s="182"/>
      <c r="B2" s="132"/>
      <c r="C2" s="134"/>
      <c r="D2" s="60" t="s">
        <v>63</v>
      </c>
      <c r="E2" s="60" t="s">
        <v>64</v>
      </c>
      <c r="F2" s="60" t="s">
        <v>65</v>
      </c>
      <c r="G2" s="60" t="s">
        <v>66</v>
      </c>
      <c r="H2" s="60" t="s">
        <v>67</v>
      </c>
      <c r="I2" s="26" t="s">
        <v>68</v>
      </c>
      <c r="J2" s="26" t="s">
        <v>68</v>
      </c>
    </row>
    <row r="3" spans="1:10" ht="57" customHeight="1" x14ac:dyDescent="0.25">
      <c r="A3" s="183">
        <v>1</v>
      </c>
      <c r="B3" s="183" t="s">
        <v>11</v>
      </c>
      <c r="C3" s="28" t="s">
        <v>69</v>
      </c>
      <c r="D3" s="29" t="s">
        <v>252</v>
      </c>
      <c r="E3" s="29" t="s">
        <v>71</v>
      </c>
      <c r="F3" s="29" t="s">
        <v>72</v>
      </c>
      <c r="G3" s="29" t="s">
        <v>253</v>
      </c>
      <c r="H3" s="29" t="s">
        <v>254</v>
      </c>
      <c r="I3" s="142">
        <v>5</v>
      </c>
      <c r="J3" s="142">
        <v>15</v>
      </c>
    </row>
    <row r="4" spans="1:10" ht="94.5" customHeight="1" x14ac:dyDescent="0.25">
      <c r="A4" s="183"/>
      <c r="B4" s="183"/>
      <c r="C4" s="28" t="s">
        <v>75</v>
      </c>
      <c r="D4" s="29" t="s">
        <v>255</v>
      </c>
      <c r="E4" s="29" t="s">
        <v>256</v>
      </c>
      <c r="F4" s="29" t="s">
        <v>257</v>
      </c>
      <c r="G4" s="29" t="s">
        <v>258</v>
      </c>
      <c r="H4" s="29" t="s">
        <v>80</v>
      </c>
      <c r="I4" s="142"/>
      <c r="J4" s="142"/>
    </row>
    <row r="5" spans="1:10" ht="94.5" customHeight="1" x14ac:dyDescent="0.25">
      <c r="A5" s="183"/>
      <c r="B5" s="183"/>
      <c r="C5" s="28" t="s">
        <v>259</v>
      </c>
      <c r="D5" s="29" t="s">
        <v>223</v>
      </c>
      <c r="E5" s="29" t="s">
        <v>224</v>
      </c>
      <c r="F5" s="29" t="s">
        <v>225</v>
      </c>
      <c r="G5" s="29" t="s">
        <v>226</v>
      </c>
      <c r="H5" s="29" t="s">
        <v>227</v>
      </c>
      <c r="I5" s="31">
        <v>2</v>
      </c>
      <c r="J5" s="142"/>
    </row>
    <row r="6" spans="1:10" ht="30" x14ac:dyDescent="0.25">
      <c r="A6" s="183">
        <v>2</v>
      </c>
      <c r="B6" s="156" t="s">
        <v>18</v>
      </c>
      <c r="C6" s="28" t="s">
        <v>260</v>
      </c>
      <c r="D6" s="29" t="s">
        <v>91</v>
      </c>
      <c r="E6" s="29" t="s">
        <v>92</v>
      </c>
      <c r="F6" s="29" t="s">
        <v>93</v>
      </c>
      <c r="G6" s="29" t="s">
        <v>94</v>
      </c>
      <c r="H6" s="29" t="s">
        <v>95</v>
      </c>
      <c r="I6" s="142">
        <v>2.5</v>
      </c>
      <c r="J6" s="184">
        <v>20</v>
      </c>
    </row>
    <row r="7" spans="1:10" ht="60" x14ac:dyDescent="0.25">
      <c r="A7" s="183">
        <v>2</v>
      </c>
      <c r="B7" s="156"/>
      <c r="C7" s="29" t="s">
        <v>261</v>
      </c>
      <c r="D7" s="29" t="s">
        <v>97</v>
      </c>
      <c r="E7" s="29" t="s">
        <v>98</v>
      </c>
      <c r="F7" s="29" t="s">
        <v>99</v>
      </c>
      <c r="G7" s="29" t="s">
        <v>100</v>
      </c>
      <c r="H7" s="29" t="s">
        <v>262</v>
      </c>
      <c r="I7" s="142"/>
      <c r="J7" s="184"/>
    </row>
    <row r="8" spans="1:10" ht="30" x14ac:dyDescent="0.25">
      <c r="A8" s="183"/>
      <c r="B8" s="156"/>
      <c r="C8" s="59" t="s">
        <v>263</v>
      </c>
      <c r="D8" s="29" t="s">
        <v>103</v>
      </c>
      <c r="E8" s="29" t="s">
        <v>104</v>
      </c>
      <c r="F8" s="29" t="s">
        <v>105</v>
      </c>
      <c r="G8" s="29" t="s">
        <v>106</v>
      </c>
      <c r="H8" s="29" t="s">
        <v>107</v>
      </c>
      <c r="I8" s="31">
        <v>2.5</v>
      </c>
      <c r="J8" s="184"/>
    </row>
    <row r="9" spans="1:10" ht="60" x14ac:dyDescent="0.25">
      <c r="A9" s="183"/>
      <c r="B9" s="156"/>
      <c r="C9" s="29" t="s">
        <v>264</v>
      </c>
      <c r="D9" s="29" t="s">
        <v>109</v>
      </c>
      <c r="E9" s="29" t="s">
        <v>110</v>
      </c>
      <c r="F9" s="29" t="s">
        <v>111</v>
      </c>
      <c r="G9" s="29" t="s">
        <v>112</v>
      </c>
      <c r="H9" s="29" t="s">
        <v>113</v>
      </c>
      <c r="I9" s="31">
        <v>3</v>
      </c>
      <c r="J9" s="184"/>
    </row>
    <row r="10" spans="1:10" ht="45" x14ac:dyDescent="0.25">
      <c r="A10" s="183"/>
      <c r="B10" s="156"/>
      <c r="C10" s="59" t="s">
        <v>265</v>
      </c>
      <c r="D10" s="29" t="s">
        <v>115</v>
      </c>
      <c r="E10" s="29" t="s">
        <v>116</v>
      </c>
      <c r="F10" s="29" t="s">
        <v>117</v>
      </c>
      <c r="G10" s="29" t="s">
        <v>118</v>
      </c>
      <c r="H10" s="29" t="s">
        <v>119</v>
      </c>
      <c r="I10" s="31">
        <v>0</v>
      </c>
      <c r="J10" s="184"/>
    </row>
    <row r="11" spans="1:10" ht="83.25" customHeight="1" x14ac:dyDescent="0.25">
      <c r="A11" s="177">
        <v>3</v>
      </c>
      <c r="B11" s="156" t="s">
        <v>25</v>
      </c>
      <c r="C11" s="59" t="s">
        <v>120</v>
      </c>
      <c r="D11" s="29" t="s">
        <v>121</v>
      </c>
      <c r="E11" s="29" t="s">
        <v>122</v>
      </c>
      <c r="F11" s="29" t="s">
        <v>123</v>
      </c>
      <c r="G11" s="29" t="s">
        <v>124</v>
      </c>
      <c r="H11" s="29" t="s">
        <v>125</v>
      </c>
      <c r="I11" s="142">
        <v>1</v>
      </c>
      <c r="J11" s="184">
        <v>15</v>
      </c>
    </row>
    <row r="12" spans="1:10" ht="45" x14ac:dyDescent="0.25">
      <c r="A12" s="177"/>
      <c r="B12" s="156"/>
      <c r="C12" s="59" t="s">
        <v>126</v>
      </c>
      <c r="D12" s="29" t="s">
        <v>127</v>
      </c>
      <c r="E12" s="29" t="s">
        <v>128</v>
      </c>
      <c r="F12" s="29" t="s">
        <v>129</v>
      </c>
      <c r="G12" s="29" t="s">
        <v>130</v>
      </c>
      <c r="H12" s="29" t="s">
        <v>131</v>
      </c>
      <c r="I12" s="142"/>
      <c r="J12" s="184"/>
    </row>
    <row r="13" spans="1:10" ht="75" x14ac:dyDescent="0.25">
      <c r="A13" s="177"/>
      <c r="B13" s="156"/>
      <c r="C13" s="59" t="s">
        <v>138</v>
      </c>
      <c r="D13" s="29" t="s">
        <v>139</v>
      </c>
      <c r="E13" s="29" t="s">
        <v>266</v>
      </c>
      <c r="F13" s="29" t="s">
        <v>267</v>
      </c>
      <c r="G13" s="29" t="s">
        <v>268</v>
      </c>
      <c r="H13" s="29" t="s">
        <v>269</v>
      </c>
      <c r="I13" s="31">
        <v>2</v>
      </c>
      <c r="J13" s="184"/>
    </row>
    <row r="14" spans="1:10" ht="90" x14ac:dyDescent="0.25">
      <c r="A14" s="177"/>
      <c r="B14" s="156"/>
      <c r="C14" s="28" t="s">
        <v>144</v>
      </c>
      <c r="D14" s="29" t="s">
        <v>139</v>
      </c>
      <c r="E14" s="29" t="s">
        <v>140</v>
      </c>
      <c r="F14" s="29" t="s">
        <v>141</v>
      </c>
      <c r="G14" s="29" t="s">
        <v>142</v>
      </c>
      <c r="H14" s="29" t="s">
        <v>143</v>
      </c>
      <c r="I14" s="31">
        <v>2</v>
      </c>
      <c r="J14" s="184"/>
    </row>
    <row r="15" spans="1:10" ht="72" customHeight="1" x14ac:dyDescent="0.25">
      <c r="A15" s="177">
        <v>4</v>
      </c>
      <c r="B15" s="156" t="s">
        <v>32</v>
      </c>
      <c r="C15" s="28" t="s">
        <v>145</v>
      </c>
      <c r="D15" s="28" t="s">
        <v>146</v>
      </c>
      <c r="E15" s="28" t="s">
        <v>147</v>
      </c>
      <c r="F15" s="28" t="s">
        <v>148</v>
      </c>
      <c r="G15" s="28" t="s">
        <v>149</v>
      </c>
      <c r="H15" s="28" t="s">
        <v>150</v>
      </c>
      <c r="I15" s="31">
        <v>2.5</v>
      </c>
      <c r="J15" s="184">
        <v>20</v>
      </c>
    </row>
    <row r="16" spans="1:10" ht="45" x14ac:dyDescent="0.25">
      <c r="A16" s="177"/>
      <c r="B16" s="156"/>
      <c r="C16" s="28" t="s">
        <v>151</v>
      </c>
      <c r="D16" s="29" t="s">
        <v>152</v>
      </c>
      <c r="E16" s="29" t="s">
        <v>153</v>
      </c>
      <c r="F16" s="29" t="s">
        <v>154</v>
      </c>
      <c r="G16" s="29" t="s">
        <v>155</v>
      </c>
      <c r="H16" s="29" t="s">
        <v>156</v>
      </c>
      <c r="I16" s="31">
        <v>2</v>
      </c>
      <c r="J16" s="184"/>
    </row>
    <row r="17" spans="1:10" ht="60" x14ac:dyDescent="0.25">
      <c r="A17" s="177"/>
      <c r="B17" s="156"/>
      <c r="C17" s="28" t="s">
        <v>157</v>
      </c>
      <c r="D17" s="29" t="s">
        <v>158</v>
      </c>
      <c r="E17" s="29" t="s">
        <v>159</v>
      </c>
      <c r="F17" s="29" t="s">
        <v>160</v>
      </c>
      <c r="G17" s="29" t="s">
        <v>161</v>
      </c>
      <c r="H17" s="29" t="s">
        <v>162</v>
      </c>
      <c r="I17" s="31">
        <v>2</v>
      </c>
      <c r="J17" s="184"/>
    </row>
    <row r="18" spans="1:10" ht="90" x14ac:dyDescent="0.25">
      <c r="A18" s="177"/>
      <c r="B18" s="156"/>
      <c r="C18" s="28" t="s">
        <v>270</v>
      </c>
      <c r="D18" s="29" t="s">
        <v>164</v>
      </c>
      <c r="E18" s="29" t="s">
        <v>271</v>
      </c>
      <c r="F18" s="29" t="s">
        <v>272</v>
      </c>
      <c r="G18" s="29" t="s">
        <v>273</v>
      </c>
      <c r="H18" s="29" t="s">
        <v>274</v>
      </c>
      <c r="I18" s="31">
        <v>2.5</v>
      </c>
      <c r="J18" s="184"/>
    </row>
    <row r="19" spans="1:10" ht="90" x14ac:dyDescent="0.25">
      <c r="A19" s="185">
        <v>5</v>
      </c>
      <c r="B19" s="156" t="s">
        <v>169</v>
      </c>
      <c r="C19" s="28" t="s">
        <v>170</v>
      </c>
      <c r="D19" s="29" t="s">
        <v>171</v>
      </c>
      <c r="E19" s="29" t="s">
        <v>172</v>
      </c>
      <c r="F19" s="29" t="s">
        <v>173</v>
      </c>
      <c r="G19" s="29" t="s">
        <v>275</v>
      </c>
      <c r="H19" s="29" t="s">
        <v>175</v>
      </c>
      <c r="I19" s="31">
        <v>3</v>
      </c>
      <c r="J19" s="184">
        <v>25</v>
      </c>
    </row>
    <row r="20" spans="1:10" ht="90" x14ac:dyDescent="0.25">
      <c r="A20" s="185"/>
      <c r="B20" s="156"/>
      <c r="C20" s="28" t="s">
        <v>176</v>
      </c>
      <c r="D20" s="29" t="s">
        <v>276</v>
      </c>
      <c r="E20" s="29" t="s">
        <v>277</v>
      </c>
      <c r="F20" s="29" t="s">
        <v>278</v>
      </c>
      <c r="G20" s="29" t="s">
        <v>279</v>
      </c>
      <c r="H20" s="29" t="s">
        <v>280</v>
      </c>
      <c r="I20" s="31">
        <v>3</v>
      </c>
      <c r="J20" s="184"/>
    </row>
    <row r="21" spans="1:10" ht="56.25" customHeight="1" x14ac:dyDescent="0.25">
      <c r="A21" s="185"/>
      <c r="B21" s="156"/>
      <c r="C21" s="28" t="s">
        <v>182</v>
      </c>
      <c r="D21" s="29" t="s">
        <v>183</v>
      </c>
      <c r="E21" s="29" t="s">
        <v>184</v>
      </c>
      <c r="F21" s="29" t="s">
        <v>281</v>
      </c>
      <c r="G21" s="29" t="s">
        <v>282</v>
      </c>
      <c r="H21" s="29" t="s">
        <v>283</v>
      </c>
      <c r="I21" s="31">
        <v>3</v>
      </c>
      <c r="J21" s="184"/>
    </row>
    <row r="22" spans="1:10" ht="90" x14ac:dyDescent="0.25">
      <c r="A22" s="185"/>
      <c r="B22" s="156"/>
      <c r="C22" s="62" t="s">
        <v>188</v>
      </c>
      <c r="D22" s="29" t="s">
        <v>189</v>
      </c>
      <c r="E22" s="29" t="s">
        <v>190</v>
      </c>
      <c r="F22" s="29" t="s">
        <v>191</v>
      </c>
      <c r="G22" s="29" t="s">
        <v>284</v>
      </c>
      <c r="H22" s="29" t="s">
        <v>285</v>
      </c>
      <c r="I22" s="31">
        <v>1.5</v>
      </c>
      <c r="J22" s="184"/>
    </row>
    <row r="23" spans="1:10" ht="75" x14ac:dyDescent="0.25">
      <c r="A23" s="185"/>
      <c r="B23" s="156"/>
      <c r="C23" s="62" t="s">
        <v>286</v>
      </c>
      <c r="D23" s="29" t="s">
        <v>189</v>
      </c>
      <c r="E23" s="29" t="s">
        <v>195</v>
      </c>
      <c r="F23" s="29" t="s">
        <v>196</v>
      </c>
      <c r="G23" s="29" t="s">
        <v>197</v>
      </c>
      <c r="H23" s="29" t="s">
        <v>287</v>
      </c>
      <c r="I23" s="31">
        <v>3</v>
      </c>
      <c r="J23" s="184"/>
    </row>
    <row r="24" spans="1:10" ht="66.75" customHeight="1" x14ac:dyDescent="0.25">
      <c r="A24" s="61">
        <v>6</v>
      </c>
      <c r="B24" s="56" t="s">
        <v>198</v>
      </c>
      <c r="C24" s="28" t="s">
        <v>288</v>
      </c>
      <c r="D24" s="29" t="s">
        <v>289</v>
      </c>
      <c r="E24" s="29" t="s">
        <v>290</v>
      </c>
      <c r="F24" s="29" t="s">
        <v>291</v>
      </c>
      <c r="G24" s="29" t="s">
        <v>292</v>
      </c>
      <c r="H24" s="29" t="s">
        <v>293</v>
      </c>
      <c r="I24" s="31">
        <v>3</v>
      </c>
      <c r="J24" s="63">
        <v>5</v>
      </c>
    </row>
    <row r="25" spans="1:10" ht="90.75" customHeight="1" x14ac:dyDescent="0.25">
      <c r="A25" s="177">
        <v>7</v>
      </c>
      <c r="B25" s="156" t="s">
        <v>53</v>
      </c>
      <c r="C25" s="28" t="s">
        <v>228</v>
      </c>
      <c r="D25" s="29" t="s">
        <v>294</v>
      </c>
      <c r="E25" s="29" t="s">
        <v>230</v>
      </c>
      <c r="F25" s="29" t="s">
        <v>231</v>
      </c>
      <c r="G25" s="29" t="s">
        <v>232</v>
      </c>
      <c r="H25" s="29" t="s">
        <v>233</v>
      </c>
      <c r="I25" s="31">
        <v>2</v>
      </c>
      <c r="J25" s="178">
        <v>20</v>
      </c>
    </row>
    <row r="26" spans="1:10" ht="104.25" customHeight="1" x14ac:dyDescent="0.25">
      <c r="A26" s="177"/>
      <c r="B26" s="156"/>
      <c r="C26" s="28" t="s">
        <v>234</v>
      </c>
      <c r="D26" s="29" t="s">
        <v>235</v>
      </c>
      <c r="E26" s="29" t="s">
        <v>236</v>
      </c>
      <c r="F26" s="29" t="s">
        <v>237</v>
      </c>
      <c r="G26" s="29" t="s">
        <v>238</v>
      </c>
      <c r="H26" s="29" t="s">
        <v>239</v>
      </c>
      <c r="I26" s="31">
        <v>2</v>
      </c>
      <c r="J26" s="178"/>
    </row>
    <row r="27" spans="1:10" ht="75" x14ac:dyDescent="0.25">
      <c r="A27" s="177"/>
      <c r="B27" s="156"/>
      <c r="C27" s="28" t="s">
        <v>295</v>
      </c>
      <c r="D27" s="29" t="s">
        <v>296</v>
      </c>
      <c r="E27" s="29" t="s">
        <v>297</v>
      </c>
      <c r="F27" s="29" t="s">
        <v>298</v>
      </c>
      <c r="G27" s="29" t="s">
        <v>299</v>
      </c>
      <c r="H27" s="29" t="s">
        <v>300</v>
      </c>
      <c r="I27" s="31">
        <v>2</v>
      </c>
      <c r="J27" s="178"/>
    </row>
    <row r="28" spans="1:10" ht="96.75" customHeight="1" x14ac:dyDescent="0.25">
      <c r="A28" s="177"/>
      <c r="B28" s="156"/>
      <c r="C28" s="28" t="s">
        <v>246</v>
      </c>
      <c r="D28" s="29" t="s">
        <v>247</v>
      </c>
      <c r="E28" s="29" t="s">
        <v>248</v>
      </c>
      <c r="F28" s="29" t="s">
        <v>249</v>
      </c>
      <c r="G28" s="29" t="s">
        <v>301</v>
      </c>
      <c r="H28" s="29" t="s">
        <v>251</v>
      </c>
      <c r="I28" s="31">
        <v>1</v>
      </c>
      <c r="J28" s="178"/>
    </row>
    <row r="29" spans="1:10" x14ac:dyDescent="0.25">
      <c r="A29" s="64"/>
      <c r="B29" s="65"/>
      <c r="C29" s="66"/>
      <c r="D29" s="67"/>
      <c r="E29" s="67"/>
      <c r="F29" s="67"/>
      <c r="G29" s="67"/>
      <c r="H29" s="67"/>
      <c r="I29" s="61">
        <f>AVERAGE(I3:I28)</f>
        <v>2.2826086956521738</v>
      </c>
      <c r="J29" s="63">
        <f>SUM(J3:J28)</f>
        <v>120</v>
      </c>
    </row>
    <row r="31" spans="1:10" x14ac:dyDescent="0.25">
      <c r="H31" s="179" t="s">
        <v>302</v>
      </c>
      <c r="I31" s="186">
        <v>2.2799999999999998</v>
      </c>
      <c r="J31" s="181"/>
    </row>
    <row r="32" spans="1:10" x14ac:dyDescent="0.25">
      <c r="H32" s="180"/>
      <c r="I32" s="186"/>
      <c r="J32" s="181"/>
    </row>
    <row r="33" spans="2:10" x14ac:dyDescent="0.25">
      <c r="H33" s="72"/>
      <c r="I33" s="72"/>
    </row>
    <row r="35" spans="2:10" x14ac:dyDescent="0.25">
      <c r="B35" s="70"/>
      <c r="C35" s="167" t="s">
        <v>303</v>
      </c>
      <c r="D35" s="165"/>
      <c r="E35" s="165"/>
      <c r="F35" s="165"/>
      <c r="G35" s="166"/>
      <c r="H35" s="165" t="s">
        <v>304</v>
      </c>
      <c r="I35" s="165"/>
      <c r="J35" s="166"/>
    </row>
    <row r="36" spans="2:10" ht="30.75" customHeight="1" x14ac:dyDescent="0.25">
      <c r="B36" s="69" t="s">
        <v>305</v>
      </c>
      <c r="C36" s="71" t="s">
        <v>306</v>
      </c>
      <c r="D36" s="168" t="s">
        <v>307</v>
      </c>
      <c r="E36" s="169"/>
      <c r="F36" s="169"/>
      <c r="G36" s="170"/>
      <c r="H36" s="159" t="s">
        <v>308</v>
      </c>
      <c r="I36" s="159"/>
      <c r="J36" s="160"/>
    </row>
    <row r="37" spans="2:10" ht="15" customHeight="1" x14ac:dyDescent="0.25">
      <c r="B37" s="69">
        <v>1</v>
      </c>
      <c r="C37" s="71" t="s">
        <v>309</v>
      </c>
      <c r="D37" s="171"/>
      <c r="E37" s="172"/>
      <c r="F37" s="172"/>
      <c r="G37" s="173"/>
      <c r="H37" s="161"/>
      <c r="I37" s="161"/>
      <c r="J37" s="162"/>
    </row>
    <row r="38" spans="2:10" ht="155.25" customHeight="1" x14ac:dyDescent="0.25">
      <c r="B38" s="69">
        <v>2</v>
      </c>
      <c r="C38" s="71" t="s">
        <v>310</v>
      </c>
      <c r="D38" s="171"/>
      <c r="E38" s="172"/>
      <c r="F38" s="172"/>
      <c r="G38" s="173"/>
      <c r="H38" s="161"/>
      <c r="I38" s="161"/>
      <c r="J38" s="162"/>
    </row>
    <row r="39" spans="2:10" ht="30.75" customHeight="1" x14ac:dyDescent="0.25">
      <c r="B39" s="69">
        <v>3</v>
      </c>
      <c r="C39" s="71" t="s">
        <v>311</v>
      </c>
      <c r="D39" s="171"/>
      <c r="E39" s="172"/>
      <c r="F39" s="172"/>
      <c r="G39" s="173"/>
      <c r="H39" s="161"/>
      <c r="I39" s="161"/>
      <c r="J39" s="162"/>
    </row>
    <row r="40" spans="2:10" x14ac:dyDescent="0.25">
      <c r="C40" s="68"/>
      <c r="D40" s="174"/>
      <c r="E40" s="175"/>
      <c r="F40" s="175"/>
      <c r="G40" s="176"/>
      <c r="H40" s="163"/>
      <c r="I40" s="163"/>
      <c r="J40" s="164"/>
    </row>
    <row r="41" spans="2:10" x14ac:dyDescent="0.25">
      <c r="H41"/>
    </row>
    <row r="42" spans="2:10" x14ac:dyDescent="0.25">
      <c r="H42"/>
    </row>
  </sheetData>
  <mergeCells count="32">
    <mergeCell ref="J15:J18"/>
    <mergeCell ref="J19:J23"/>
    <mergeCell ref="I6:I7"/>
    <mergeCell ref="A11:A14"/>
    <mergeCell ref="B11:B14"/>
    <mergeCell ref="I11:I12"/>
    <mergeCell ref="J6:J10"/>
    <mergeCell ref="J11:J14"/>
    <mergeCell ref="A15:A18"/>
    <mergeCell ref="B15:B18"/>
    <mergeCell ref="A19:A23"/>
    <mergeCell ref="B19:B23"/>
    <mergeCell ref="A6:A10"/>
    <mergeCell ref="B6:B10"/>
    <mergeCell ref="A1:A2"/>
    <mergeCell ref="B1:B2"/>
    <mergeCell ref="C1:C2"/>
    <mergeCell ref="I3:I4"/>
    <mergeCell ref="A3:A5"/>
    <mergeCell ref="D1:J1"/>
    <mergeCell ref="B3:B5"/>
    <mergeCell ref="J3:J5"/>
    <mergeCell ref="H36:J40"/>
    <mergeCell ref="H35:J35"/>
    <mergeCell ref="C35:G35"/>
    <mergeCell ref="D36:G40"/>
    <mergeCell ref="A25:A28"/>
    <mergeCell ref="B25:B28"/>
    <mergeCell ref="J25:J28"/>
    <mergeCell ref="H31:H32"/>
    <mergeCell ref="I31:I32"/>
    <mergeCell ref="J31:J32"/>
  </mergeCells>
  <pageMargins left="0.31496062992125984" right="0.23622047244094491" top="0.35433070866141736" bottom="0.27559055118110237" header="0.31496062992125984" footer="0.31496062992125984"/>
  <pageSetup paperSize="9" scale="7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Rehana Sultana</dc:creator>
  <cp:keywords/>
  <dc:description/>
  <cp:lastModifiedBy>Sreelakshmy Menon</cp:lastModifiedBy>
  <cp:revision/>
  <dcterms:created xsi:type="dcterms:W3CDTF">2025-10-25T09:43:11Z</dcterms:created>
  <dcterms:modified xsi:type="dcterms:W3CDTF">2026-02-07T05:25:00Z</dcterms:modified>
  <cp:category/>
  <cp:contentStatus/>
</cp:coreProperties>
</file>