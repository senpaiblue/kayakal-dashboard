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ENAROSHAN\Desktop\jsw\gmml\"/>
    </mc:Choice>
  </mc:AlternateContent>
  <bookViews>
    <workbookView xWindow="0" yWindow="0" windowWidth="23040" windowHeight="1104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sheet'!$B$2:$K$29</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sheet'!$2:$3</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3" l="1"/>
  <c r="K30" i="3" l="1"/>
  <c r="J30" i="3" l="1"/>
  <c r="I37" i="3" s="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F5"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G5"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H5"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F11" authorId="0" shapeId="0">
      <text>
        <r>
          <rPr>
            <b/>
            <sz val="9"/>
            <color indexed="81"/>
            <rFont val="Tahoma"/>
            <family val="2"/>
          </rPr>
          <t>Rehana Sultana:</t>
        </r>
        <r>
          <rPr>
            <sz val="9"/>
            <color indexed="81"/>
            <rFont val="Tahoma"/>
            <family val="2"/>
          </rPr>
          <t xml:space="preserve">
Within VJNR </t>
        </r>
      </text>
    </comment>
    <comment ref="G11" authorId="0" shapeId="0">
      <text>
        <r>
          <rPr>
            <b/>
            <sz val="9"/>
            <color indexed="81"/>
            <rFont val="Tahoma"/>
            <family val="2"/>
          </rPr>
          <t>Rehana Sultana:</t>
        </r>
        <r>
          <rPr>
            <sz val="9"/>
            <color indexed="81"/>
            <rFont val="Tahoma"/>
            <family val="2"/>
          </rPr>
          <t xml:space="preserve">
Within VJNR, DOLVI, </t>
        </r>
      </text>
    </comment>
    <comment ref="H11" authorId="0" shapeId="0">
      <text>
        <r>
          <rPr>
            <b/>
            <sz val="9"/>
            <color indexed="81"/>
            <rFont val="Tahoma"/>
            <family val="2"/>
          </rPr>
          <t>Rehana Sultana:</t>
        </r>
        <r>
          <rPr>
            <sz val="9"/>
            <color indexed="81"/>
            <rFont val="Tahoma"/>
            <family val="2"/>
          </rPr>
          <t xml:space="preserve">
Competitor pan India TATA Steel, Arcelar Mittal, Hundai, MM</t>
        </r>
      </text>
    </comment>
    <comment ref="I11" authorId="0" shapeId="0">
      <text>
        <r>
          <rPr>
            <b/>
            <sz val="9"/>
            <color indexed="81"/>
            <rFont val="Tahoma"/>
            <family val="2"/>
          </rPr>
          <t>Rehana Sultana:</t>
        </r>
        <r>
          <rPr>
            <sz val="9"/>
            <color indexed="81"/>
            <rFont val="Tahoma"/>
            <family val="2"/>
          </rPr>
          <t xml:space="preserve">
POSCO, JFE</t>
        </r>
      </text>
    </comment>
    <comment ref="H25" authorId="0" shapeId="0">
      <text>
        <r>
          <rPr>
            <b/>
            <sz val="9"/>
            <color indexed="81"/>
            <rFont val="Tahoma"/>
            <family val="2"/>
          </rPr>
          <t>Rehana Sultana:</t>
        </r>
        <r>
          <rPr>
            <sz val="9"/>
            <color indexed="81"/>
            <rFont val="Tahoma"/>
            <family val="2"/>
          </rPr>
          <t xml:space="preserve">
Eg TATA, Arcellar Mittal, Hundai</t>
        </r>
      </text>
    </comment>
    <comment ref="I25"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<sst xmlns="http://schemas.openxmlformats.org/spreadsheetml/2006/main" count="454" uniqueCount="314">
  <si>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</si>
  <si>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</si>
  <si>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</si>
  <si>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</si>
  <si>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</si>
  <si>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</si>
  <si>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</si>
  <si>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</si>
  <si>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</si>
  <si>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</si>
  <si>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</si>
  <si>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</si>
  <si>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</si>
  <si>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</si>
  <si>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</si>
  <si>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</si>
  <si>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</si>
  <si>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</si>
  <si>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</si>
  <si>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</si>
  <si>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</si>
  <si>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</si>
  <si>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</si>
  <si>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</si>
  <si>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</si>
  <si>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</si>
  <si>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</si>
  <si>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</si>
  <si>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</si>
  <si>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</si>
  <si>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</si>
  <si>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</si>
  <si>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</si>
  <si>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</si>
  <si>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</si>
  <si>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</si>
  <si>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</si>
  <si>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</si>
  <si>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</si>
  <si>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</si>
  <si>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</si>
  <si>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</si>
  <si>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</si>
  <si>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</si>
  <si>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</si>
  <si>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</si>
  <si>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</si>
  <si>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</si>
  <si>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</si>
  <si>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</si>
  <si>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</si>
  <si>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</si>
  <si>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</si>
  <si>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</si>
  <si>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</si>
  <si>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</si>
  <si>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</si>
  <si>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</si>
  <si>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</si>
  <si>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</si>
  <si>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</si>
  <si>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</si>
  <si>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</si>
  <si>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</si>
  <si>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</si>
  <si>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</si>
  <si>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</si>
  <si>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</si>
  <si>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</si>
  <si>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</si>
  <si>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</si>
  <si>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</si>
  <si>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</si>
  <si>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</si>
  <si>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</si>
  <si>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</si>
  <si>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</si>
  <si>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</si>
  <si>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</si>
  <si>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</si>
  <si>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</si>
  <si>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</si>
  <si>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</si>
  <si>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</si>
  <si>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</si>
  <si>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</si>
  <si>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</si>
  <si>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</si>
  <si>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</si>
  <si>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</si>
  <si>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</si>
  <si>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</si>
  <si>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</si>
  <si>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</si>
  <si>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</si>
  <si>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</si>
  <si>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</si>
  <si>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</si>
  <si>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</si>
  <si>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</si>
  <si>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</si>
  <si>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</si>
  <si>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</si>
  <si>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</si>
  <si>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</si>
  <si>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</si>
  <si>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</si>
  <si>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</si>
  <si>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</si>
  <si>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</si>
  <si>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</si>
  <si>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</si>
  <si>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</si>
  <si>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</si>
  <si>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</si>
  <si>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</si>
  <si>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</si>
  <si>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</si>
  <si>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</si>
  <si>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</si>
  <si>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</si>
  <si>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</si>
  <si>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</si>
  <si>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</si>
  <si>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</si>
  <si>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</si>
  <si>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</si>
  <si>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</si>
  <si>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</si>
  <si>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</si>
  <si>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</si>
  <si>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</si>
  <si>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</si>
  <si>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</si>
  <si>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</si>
  <si>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</si>
  <si>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</si>
  <si>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</si>
  <si>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</si>
  <si>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</si>
  <si>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</si>
  <si>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</si>
  <si>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</si>
  <si>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</si>
  <si>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</si>
  <si>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</si>
  <si>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</si>
  <si>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</si>
  <si>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</si>
  <si>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</si>
  <si>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</si>
  <si>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</si>
  <si>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</si>
  <si>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</si>
  <si>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</si>
  <si>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</si>
  <si>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</si>
  <si>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</si>
  <si>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</si>
  <si>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</si>
  <si>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</si>
  <si>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</si>
  <si>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</si>
  <si>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</si>
  <si>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</si>
  <si>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</si>
  <si>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</si>
  <si>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</si>
  <si>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</si>
  <si>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</si>
  <si>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</si>
  <si>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</si>
  <si>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</si>
  <si>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</si>
  <si>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</si>
  <si>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</si>
  <si>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</si>
  <si>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</si>
  <si>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</si>
  <si>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</si>
  <si>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</si>
  <si>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</si>
  <si>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</si>
  <si>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</si>
  <si>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</si>
  <si>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</si>
  <si>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</si>
  <si>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</si>
  <si>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</si>
  <si>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</si>
  <si>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</si>
  <si>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</si>
  <si>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</si>
  <si>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</si>
  <si>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</si>
  <si>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</si>
  <si>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</si>
  <si>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</si>
  <si>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</si>
  <si>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</si>
  <si>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</si>
  <si>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</si>
  <si>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</si>
  <si>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</si>
  <si>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</si>
  <si>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</si>
  <si>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</si>
  <si>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</si>
  <si>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</si>
  <si>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</si>
  <si>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</si>
  <si>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</si>
  <si>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</si>
  <si>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</si>
  <si>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</si>
  <si>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</si>
  <si>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</si>
  <si>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</si>
  <si>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</si>
  <si>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</si>
  <si>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</si>
  <si>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</si>
  <si>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</si>
  <si>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</si>
  <si>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</si>
  <si>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</si>
  <si>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</si>
  <si>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</si>
  <si>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</si>
  <si>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</si>
  <si>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</si>
  <si>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</si>
  <si>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</si>
  <si>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</si>
  <si>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</si>
  <si>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</si>
  <si>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</si>
  <si>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</si>
  <si>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</si>
  <si>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</si>
  <si>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</si>
  <si>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</si>
  <si>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</si>
  <si>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</si>
  <si>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</si>
  <si>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</si>
  <si>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</si>
  <si>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</si>
  <si>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</si>
  <si>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</si>
  <si>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</si>
  <si>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</si>
  <si>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</si>
  <si>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</si>
  <si>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</si>
  <si>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</si>
  <si>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</si>
  <si>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</si>
  <si>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</si>
  <si>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</si>
  <si>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</si>
  <si>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Company Vision
</t>
  </si>
  <si>
    <t># Department Business plan</t>
  </si>
  <si>
    <t xml:space="preserve"># Roles &amp; responsibility </t>
  </si>
  <si>
    <t># Policies</t>
  </si>
  <si>
    <t xml:space="preserve"># KPI </t>
  </si>
  <si>
    <t>Business plan linked to department Associates+ contract Labours
100 % Compliance to ABP</t>
  </si>
  <si>
    <t># Corrective action effectiveness 
KPI- Gap Analysis</t>
  </si>
  <si>
    <t>Corrective action available with own Criteria used</t>
  </si>
  <si>
    <t>Corrective action(CA) available with planned and TQM Criteria used</t>
  </si>
  <si>
    <t>DQC, Departmental TQM Council (DTC) meetings conducted with plan, linked to KPI, TQM activity support to improve 5%</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</si>
  <si>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</si>
  <si>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</si>
  <si>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</si>
  <si>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</si>
  <si>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</si>
  <si>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</si>
  <si>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</si>
  <si>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</si>
  <si>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</si>
  <si>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</si>
  <si>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</si>
  <si>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</si>
  <si>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</si>
  <si>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</si>
  <si>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</si>
  <si>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</si>
  <si>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</si>
  <si>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</si>
  <si>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</si>
  <si>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ICS -100% along with Appreciation letters</t>
  </si>
  <si>
    <t xml:space="preserve">Average 80% Compliance </t>
  </si>
  <si>
    <t>Average 90% Compliance</t>
  </si>
  <si>
    <t>Average 100% Compliance</t>
  </si>
  <si>
    <t>All customers identified.
CSR Maintained for Critical top 5 
Automative and 
Non Automotive Customers</t>
  </si>
  <si>
    <t>identification of all customers.
ICS Index, MoU available for critical customers.</t>
  </si>
  <si>
    <t xml:space="preserve">ICS -100% </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</si>
  <si>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</si>
  <si>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</si>
  <si>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</si>
  <si>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</si>
  <si>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</si>
  <si>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</si>
  <si>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</si>
  <si>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</si>
  <si>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</si>
  <si>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Taken up</t>
  </si>
  <si>
    <t>Assessment Could not be completed De to Lack of Understanding</t>
  </si>
  <si>
    <t>Assessment Not taken up due to no Preparation</t>
  </si>
  <si>
    <t>General Observations</t>
  </si>
  <si>
    <t xml:space="preserve"> </t>
  </si>
  <si>
    <t>SCORE</t>
  </si>
  <si>
    <t>Compliance level of internal customers is not monitored through defined metrics or periodic reviews.
KPI benchmarking is not carried out against internal targets, historical performance, or industry best practices.
On-the-job training is conducted without a structured or documented training plan.
Department-specific training programs are not systematically implemented.
PDCA and SDCA cycles are not formally implemented across key processes.
Person responsible for business interaction is not clearly defined and is not plotted in the RACI matrix.
Root Cause Failure Analysis (RCFA) is not conducted.
Supplier performance is monitored, but supplier development and improvement actions are limited.</t>
  </si>
  <si>
    <t>Quality Management practices are present but not consistently structured or standardized.
Training, process control, and improvement activities lack systematic planning and documentation.          Continual improvement practices are not embedded as a culture across the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</si>
</sst>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22"/>
      <color theme="1"/>
      <name val="Calibri"/>
      <family val="2"/>
      <scheme val="minor"/>
    </font>
    <font>
      <sz val="22"/>
      <color theme="1"/>
      <name val="Calibri"/>
      <family val="2"/>
      <scheme val="minor"/>
    </font>
  </fonts>
  <fills count="9">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theme="0" tint="-0.249977111117893"/>
        <bgColor indexed="64"/>
      </patternFill>
    </fill>
    <fill>
      <patternFill patternType="solid">
        <fgColor rgb="FF00B0F0"/>
        <bgColor indexed="64"/>
      </patternFill>
    </fill>
  </fills>
  <borders count="67">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06">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1" fillId="0" borderId="43" xfId="0" applyFont="1" applyFill="1" applyBorder="1" applyAlignment="1">
      <alignment horizontal="left" vertical="center" wrapText="1"/>
    </xf>
    <xf numFmtId="0" fontId="0" fillId="0" borderId="43" xfId="0" applyBorder="1" applyAlignment="1">
      <alignment horizontal="center" vertical="center"/>
    </xf>
    <xf numFmtId="0" fontId="6" fillId="5" borderId="43" xfId="0" applyFont="1" applyFill="1" applyBorder="1" applyAlignment="1">
      <alignment horizontal="center" vertical="center"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1" fillId="0" borderId="43" xfId="0" applyFont="1" applyFill="1" applyBorder="1" applyAlignment="1">
      <alignment horizontal="center" vertical="center"/>
    </xf>
    <xf numFmtId="0" fontId="4" fillId="0" borderId="43" xfId="0" applyFont="1" applyFill="1" applyBorder="1" applyAlignment="1">
      <alignment vertical="center" wrapText="1"/>
    </xf>
    <xf numFmtId="0" fontId="0" fillId="0" borderId="43" xfId="0" applyBorder="1" applyAlignment="1">
      <alignment vertical="center"/>
    </xf>
    <xf numFmtId="0" fontId="1" fillId="0" borderId="43" xfId="0" applyFont="1" applyBorder="1" applyAlignment="1">
      <alignment horizontal="center"/>
    </xf>
    <xf numFmtId="0" fontId="1" fillId="0" borderId="43" xfId="0" applyFont="1" applyBorder="1" applyAlignment="1">
      <alignment wrapText="1"/>
    </xf>
    <xf numFmtId="0" fontId="0" fillId="0" borderId="43" xfId="0" applyBorder="1"/>
    <xf numFmtId="0" fontId="0" fillId="0" borderId="43" xfId="0" applyBorder="1" applyAlignment="1">
      <alignment wrapText="1"/>
    </xf>
    <xf numFmtId="0" fontId="1" fillId="0" borderId="48" xfId="0" applyFont="1" applyBorder="1" applyAlignment="1">
      <alignment wrapText="1"/>
    </xf>
    <xf numFmtId="0" fontId="0" fillId="6" borderId="43" xfId="0" applyFill="1" applyBorder="1" applyAlignment="1">
      <alignment horizontal="left" vertical="center" wrapText="1"/>
    </xf>
    <xf numFmtId="0" fontId="4" fillId="6" borderId="43" xfId="0" applyFont="1" applyFill="1" applyBorder="1" applyAlignment="1">
      <alignment horizontal="left" vertical="center" wrapText="1"/>
    </xf>
    <xf numFmtId="0" fontId="0" fillId="7" borderId="43" xfId="0" applyFill="1" applyBorder="1" applyAlignment="1">
      <alignment horizontal="left" vertical="center" wrapText="1"/>
    </xf>
    <xf numFmtId="0" fontId="0" fillId="7" borderId="43" xfId="0" applyFill="1" applyBorder="1" applyAlignment="1">
      <alignment horizontal="center" vertical="center"/>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0" fillId="0" borderId="43" xfId="0" applyFill="1" applyBorder="1" applyAlignment="1">
      <alignment vertical="center" wrapText="1"/>
    </xf>
    <xf numFmtId="0" fontId="1" fillId="0" borderId="43" xfId="0" applyFont="1" applyBorder="1" applyAlignment="1">
      <alignment horizontal="center" vertical="center" wrapText="1"/>
    </xf>
    <xf numFmtId="0" fontId="0" fillId="0" borderId="43" xfId="0" applyBorder="1" applyAlignment="1">
      <alignment vertical="center"/>
    </xf>
    <xf numFmtId="0" fontId="5" fillId="2" borderId="43" xfId="0" applyFont="1" applyFill="1" applyBorder="1" applyAlignment="1">
      <alignment horizontal="center" vertical="center" wrapText="1"/>
    </xf>
    <xf numFmtId="0" fontId="1" fillId="0" borderId="43" xfId="0" applyFont="1" applyBorder="1" applyAlignment="1">
      <alignment horizontal="center" vertical="center"/>
    </xf>
    <xf numFmtId="0" fontId="1" fillId="0" borderId="43" xfId="0" applyFont="1" applyFill="1" applyBorder="1"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center" vertical="center" wrapText="1"/>
    </xf>
    <xf numFmtId="0" fontId="0" fillId="0" borderId="9" xfId="0"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0" borderId="0" xfId="0" applyBorder="1" applyAlignment="1">
      <alignment horizontal="center" vertical="center"/>
    </xf>
    <xf numFmtId="0" fontId="0" fillId="0" borderId="66" xfId="0" applyBorder="1" applyAlignment="1">
      <alignment horizontal="center" vertical="center"/>
    </xf>
    <xf numFmtId="0" fontId="0" fillId="0" borderId="46"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9" xfId="0" applyBorder="1" applyAlignment="1">
      <alignment horizontal="center" vertical="center" wrapText="1"/>
    </xf>
    <xf numFmtId="0" fontId="0" fillId="0" borderId="64" xfId="0" applyBorder="1" applyAlignment="1">
      <alignment horizontal="center" vertical="center" wrapText="1"/>
    </xf>
    <xf numFmtId="0" fontId="0" fillId="0" borderId="65" xfId="0" applyBorder="1" applyAlignment="1">
      <alignment horizontal="center" vertical="center" wrapText="1"/>
    </xf>
    <xf numFmtId="0" fontId="0" fillId="0" borderId="0" xfId="0" applyBorder="1" applyAlignment="1">
      <alignment horizontal="center" vertical="center" wrapText="1"/>
    </xf>
    <xf numFmtId="0" fontId="0" fillId="0" borderId="66" xfId="0" applyBorder="1" applyAlignment="1">
      <alignment horizontal="center" vertical="center" wrapText="1"/>
    </xf>
    <xf numFmtId="0" fontId="0" fillId="0" borderId="46"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9" fillId="8" borderId="0" xfId="0" applyFont="1" applyFill="1" applyAlignment="1">
      <alignment wrapText="1"/>
    </xf>
    <xf numFmtId="0" fontId="10" fillId="8"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es"/>
      <sheetName val="Schedule - 2"/>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row r="3">
          <cell r="B3">
            <v>48.8</v>
          </cell>
        </row>
        <row r="4">
          <cell r="B4">
            <v>3.1139999999999999</v>
          </cell>
        </row>
        <row r="5">
          <cell r="B5">
            <v>21.91</v>
          </cell>
        </row>
        <row r="6">
          <cell r="B6">
            <v>6.53</v>
          </cell>
        </row>
      </sheetData>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total"/>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1">
        <row r="1">
          <cell r="A1" t="str">
            <v>date</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_Prfl_28"/>
      <sheetName val="Sheet1"/>
      <sheetName val="Sheet4"/>
      <sheetName val="LPG"/>
      <sheetName val="ON LINE"/>
      <sheetName val="Bar chrt"/>
      <sheetName val="ctl"/>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h__Prfl_01"/>
      <sheetName val="Sheet6"/>
      <sheetName val="Sheet5"/>
      <sheetName val="on-line"/>
      <sheetName val="Sheet3"/>
      <sheetName val="CTL"/>
      <sheetName val="Sheet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rojects-Live"/>
      <sheetName val="PACKING_LIST"/>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D11" sqref="D11"/>
    </sheetView>
  </sheetViews>
  <sheetFormatPr defaultRowHeight="14.4" x14ac:dyDescent="0.3"/>
  <cols>
    <col min="1" max="1" width="4.88671875" customWidth="1"/>
    <col min="2" max="2" width="17.5546875" customWidth="1"/>
    <col min="3" max="3" width="25.88671875" customWidth="1"/>
    <col min="4" max="4" width="17.6640625" customWidth="1"/>
    <col min="5" max="5" width="25.33203125" customWidth="1"/>
    <col min="6" max="6" width="22.5546875" customWidth="1"/>
    <col min="7" max="7" width="24" customWidth="1"/>
    <col min="8" max="8" width="27.109375" customWidth="1"/>
    <col min="9" max="9" width="8.109375" customWidth="1"/>
    <col min="10" max="13" width="6.44140625" customWidth="1"/>
  </cols>
  <sheetData>
    <row r="1" spans="1:13" ht="39" customHeight="1" thickBot="1" x14ac:dyDescent="0.35">
      <c r="A1" s="115"/>
      <c r="B1" s="116"/>
      <c r="C1" s="117" t="s">
        <v>245</v>
      </c>
      <c r="D1" s="118"/>
      <c r="E1" s="118"/>
      <c r="F1" s="118"/>
      <c r="G1" s="118"/>
      <c r="H1" s="118"/>
      <c r="I1" s="118"/>
      <c r="J1" s="118"/>
      <c r="K1" s="118"/>
      <c r="L1" s="118"/>
      <c r="M1" s="119"/>
    </row>
    <row r="2" spans="1:13" ht="29.25" customHeight="1" thickBot="1" x14ac:dyDescent="0.35">
      <c r="A2" s="1" t="s">
        <v>0</v>
      </c>
      <c r="B2" s="2" t="s">
        <v>1</v>
      </c>
      <c r="C2" s="3" t="s">
        <v>2</v>
      </c>
      <c r="D2" s="4" t="s">
        <v>3</v>
      </c>
      <c r="E2" s="4" t="s">
        <v>4</v>
      </c>
      <c r="F2" s="4" t="s">
        <v>5</v>
      </c>
      <c r="G2" s="5" t="s">
        <v>6</v>
      </c>
      <c r="H2" s="6" t="s">
        <v>7</v>
      </c>
      <c r="I2" s="7" t="s">
        <v>8</v>
      </c>
      <c r="J2" s="120" t="s">
        <v>9</v>
      </c>
      <c r="K2" s="121"/>
      <c r="L2" s="121"/>
      <c r="M2" s="122"/>
    </row>
    <row r="3" spans="1:13" ht="37.5" customHeight="1" x14ac:dyDescent="0.3">
      <c r="A3" s="123">
        <v>1</v>
      </c>
      <c r="B3" s="126" t="s">
        <v>10</v>
      </c>
      <c r="C3" s="129" t="s">
        <v>11</v>
      </c>
      <c r="D3" s="132" t="s">
        <v>12</v>
      </c>
      <c r="E3" s="132" t="s">
        <v>13</v>
      </c>
      <c r="F3" s="132" t="s">
        <v>14</v>
      </c>
      <c r="G3" s="132" t="s">
        <v>15</v>
      </c>
      <c r="H3" s="135" t="s">
        <v>16</v>
      </c>
      <c r="I3" s="98"/>
      <c r="J3" s="100"/>
      <c r="K3" s="101"/>
      <c r="L3" s="101"/>
      <c r="M3" s="102"/>
    </row>
    <row r="4" spans="1:13" x14ac:dyDescent="0.3">
      <c r="A4" s="124"/>
      <c r="B4" s="127"/>
      <c r="C4" s="130"/>
      <c r="D4" s="133"/>
      <c r="E4" s="133"/>
      <c r="F4" s="133"/>
      <c r="G4" s="133"/>
      <c r="H4" s="136"/>
      <c r="I4" s="98"/>
      <c r="J4" s="103"/>
      <c r="K4" s="104"/>
      <c r="L4" s="104"/>
      <c r="M4" s="105"/>
    </row>
    <row r="5" spans="1:13" ht="15" thickBot="1" x14ac:dyDescent="0.35">
      <c r="A5" s="125"/>
      <c r="B5" s="128"/>
      <c r="C5" s="131"/>
      <c r="D5" s="134"/>
      <c r="E5" s="134"/>
      <c r="F5" s="134"/>
      <c r="G5" s="134"/>
      <c r="H5" s="137"/>
      <c r="I5" s="99"/>
      <c r="J5" s="138"/>
      <c r="K5" s="139"/>
      <c r="L5" s="139"/>
      <c r="M5" s="140"/>
    </row>
    <row r="6" spans="1:13" x14ac:dyDescent="0.3">
      <c r="A6" s="106">
        <v>2</v>
      </c>
      <c r="B6" s="109" t="s">
        <v>17</v>
      </c>
      <c r="C6" s="112" t="s">
        <v>18</v>
      </c>
      <c r="D6" s="85" t="s">
        <v>19</v>
      </c>
      <c r="E6" s="85" t="s">
        <v>20</v>
      </c>
      <c r="F6" s="85" t="s">
        <v>21</v>
      </c>
      <c r="G6" s="88" t="s">
        <v>22</v>
      </c>
      <c r="H6" s="94" t="s">
        <v>23</v>
      </c>
      <c r="I6" s="97"/>
      <c r="J6" s="100"/>
      <c r="K6" s="101"/>
      <c r="L6" s="101"/>
      <c r="M6" s="102"/>
    </row>
    <row r="7" spans="1:13" ht="25.5" customHeight="1" x14ac:dyDescent="0.3">
      <c r="A7" s="107"/>
      <c r="B7" s="110"/>
      <c r="C7" s="113"/>
      <c r="D7" s="86"/>
      <c r="E7" s="86"/>
      <c r="F7" s="86"/>
      <c r="G7" s="89"/>
      <c r="H7" s="95"/>
      <c r="I7" s="98"/>
      <c r="J7" s="103"/>
      <c r="K7" s="104"/>
      <c r="L7" s="104"/>
      <c r="M7" s="105"/>
    </row>
    <row r="8" spans="1:13" ht="25.5" customHeight="1" x14ac:dyDescent="0.3">
      <c r="A8" s="107"/>
      <c r="B8" s="110"/>
      <c r="C8" s="113"/>
      <c r="D8" s="86"/>
      <c r="E8" s="86"/>
      <c r="F8" s="86"/>
      <c r="G8" s="89"/>
      <c r="H8" s="95"/>
      <c r="I8" s="98"/>
      <c r="J8" s="103"/>
      <c r="K8" s="104"/>
      <c r="L8" s="104"/>
      <c r="M8" s="105"/>
    </row>
    <row r="9" spans="1:13" ht="23.25" customHeight="1" thickBot="1" x14ac:dyDescent="0.35">
      <c r="A9" s="108"/>
      <c r="B9" s="111"/>
      <c r="C9" s="114"/>
      <c r="D9" s="87"/>
      <c r="E9" s="87"/>
      <c r="F9" s="87"/>
      <c r="G9" s="90"/>
      <c r="H9" s="96"/>
      <c r="I9" s="99"/>
      <c r="J9" s="103"/>
      <c r="K9" s="104"/>
      <c r="L9" s="104"/>
      <c r="M9" s="105"/>
    </row>
    <row r="10" spans="1:13" ht="63" customHeight="1" thickBot="1" x14ac:dyDescent="0.35">
      <c r="A10" s="8">
        <v>3</v>
      </c>
      <c r="B10" s="9" t="s">
        <v>24</v>
      </c>
      <c r="C10" s="10" t="s">
        <v>25</v>
      </c>
      <c r="D10" s="11" t="s">
        <v>26</v>
      </c>
      <c r="E10" s="11" t="s">
        <v>27</v>
      </c>
      <c r="F10" s="12" t="s">
        <v>28</v>
      </c>
      <c r="G10" s="12" t="s">
        <v>29</v>
      </c>
      <c r="H10" s="13" t="s">
        <v>30</v>
      </c>
      <c r="I10" s="14"/>
      <c r="J10" s="91"/>
      <c r="K10" s="92"/>
      <c r="L10" s="92"/>
      <c r="M10" s="93"/>
    </row>
    <row r="11" spans="1:13" ht="84.75" customHeight="1" thickBot="1" x14ac:dyDescent="0.35">
      <c r="A11" s="8">
        <v>4</v>
      </c>
      <c r="B11" s="15" t="s">
        <v>31</v>
      </c>
      <c r="C11" s="16" t="s">
        <v>32</v>
      </c>
      <c r="D11" s="17" t="s">
        <v>33</v>
      </c>
      <c r="E11" s="18" t="s">
        <v>34</v>
      </c>
      <c r="F11" s="17" t="s">
        <v>35</v>
      </c>
      <c r="G11" s="17" t="s">
        <v>36</v>
      </c>
      <c r="H11" s="19" t="s">
        <v>37</v>
      </c>
      <c r="I11" s="20"/>
      <c r="J11" s="100"/>
      <c r="K11" s="101"/>
      <c r="L11" s="101"/>
      <c r="M11" s="102"/>
    </row>
    <row r="12" spans="1:13" ht="78" customHeight="1" thickBot="1" x14ac:dyDescent="0.35">
      <c r="A12" s="21">
        <v>5</v>
      </c>
      <c r="B12" s="22" t="s">
        <v>38</v>
      </c>
      <c r="C12" s="16" t="s">
        <v>39</v>
      </c>
      <c r="D12" s="17" t="s">
        <v>40</v>
      </c>
      <c r="E12" s="18" t="s">
        <v>41</v>
      </c>
      <c r="F12" s="17" t="s">
        <v>42</v>
      </c>
      <c r="G12" s="17" t="s">
        <v>43</v>
      </c>
      <c r="H12" s="23" t="s">
        <v>44</v>
      </c>
      <c r="I12" s="20"/>
      <c r="J12" s="91"/>
      <c r="K12" s="92"/>
      <c r="L12" s="92"/>
      <c r="M12" s="93"/>
    </row>
    <row r="13" spans="1:13" ht="79.8" thickBot="1" x14ac:dyDescent="0.35">
      <c r="A13" s="21">
        <v>6</v>
      </c>
      <c r="B13" s="22" t="s">
        <v>45</v>
      </c>
      <c r="C13" s="16" t="s">
        <v>46</v>
      </c>
      <c r="D13" s="17" t="s">
        <v>47</v>
      </c>
      <c r="E13" s="18" t="s">
        <v>48</v>
      </c>
      <c r="F13" s="17" t="s">
        <v>49</v>
      </c>
      <c r="G13" s="17" t="s">
        <v>50</v>
      </c>
      <c r="H13" s="23" t="s">
        <v>51</v>
      </c>
      <c r="I13" s="20"/>
      <c r="J13" s="91"/>
      <c r="K13" s="92"/>
      <c r="L13" s="92"/>
      <c r="M13" s="93"/>
    </row>
    <row r="14" spans="1:13" ht="66.599999999999994" thickBot="1" x14ac:dyDescent="0.35">
      <c r="A14" s="21">
        <v>7</v>
      </c>
      <c r="B14" s="22" t="s">
        <v>52</v>
      </c>
      <c r="C14" s="16" t="s">
        <v>53</v>
      </c>
      <c r="D14" s="17" t="s">
        <v>54</v>
      </c>
      <c r="E14" s="18" t="s">
        <v>55</v>
      </c>
      <c r="F14" s="17" t="s">
        <v>56</v>
      </c>
      <c r="G14" s="17" t="s">
        <v>57</v>
      </c>
      <c r="H14" s="23" t="s">
        <v>58</v>
      </c>
      <c r="I14" s="20"/>
      <c r="J14" s="91"/>
      <c r="K14" s="92"/>
      <c r="L14" s="92"/>
      <c r="M14" s="93"/>
    </row>
  </sheetData>
  <mergeCells count="28">
    <mergeCell ref="A1:B1"/>
    <mergeCell ref="C1:M1"/>
    <mergeCell ref="J2:M2"/>
    <mergeCell ref="A3:A5"/>
    <mergeCell ref="B3:B5"/>
    <mergeCell ref="C3:C5"/>
    <mergeCell ref="D3:D5"/>
    <mergeCell ref="E3:E5"/>
    <mergeCell ref="F3:F5"/>
    <mergeCell ref="G3:G5"/>
    <mergeCell ref="H3:H5"/>
    <mergeCell ref="I3:I5"/>
    <mergeCell ref="J3:M5"/>
    <mergeCell ref="A6:A9"/>
    <mergeCell ref="B6:B9"/>
    <mergeCell ref="C6:C9"/>
    <mergeCell ref="D6:D9"/>
    <mergeCell ref="E6:E9"/>
    <mergeCell ref="F6:F9"/>
    <mergeCell ref="G6:G9"/>
    <mergeCell ref="J13:M13"/>
    <mergeCell ref="J14:M14"/>
    <mergeCell ref="H6:H9"/>
    <mergeCell ref="I6:I9"/>
    <mergeCell ref="J6:M9"/>
    <mergeCell ref="J10:M10"/>
    <mergeCell ref="J11:M11"/>
    <mergeCell ref="J12:M12"/>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4.4" x14ac:dyDescent="0.3"/>
  <cols>
    <col min="1" max="1" width="5.6640625" style="58" bestFit="1" customWidth="1"/>
    <col min="2" max="2" width="18.109375" style="59" customWidth="1"/>
    <col min="3" max="3" width="23.88671875" customWidth="1"/>
    <col min="4" max="8" width="27.88671875" style="60" customWidth="1"/>
    <col min="9" max="9" width="11.5546875" style="61" customWidth="1"/>
  </cols>
  <sheetData>
    <row r="1" spans="1:9" ht="18" x14ac:dyDescent="0.3">
      <c r="A1" s="164" t="s">
        <v>59</v>
      </c>
      <c r="B1" s="166" t="s">
        <v>60</v>
      </c>
      <c r="C1" s="168" t="s">
        <v>2</v>
      </c>
      <c r="D1" s="170" t="s">
        <v>61</v>
      </c>
      <c r="E1" s="170"/>
      <c r="F1" s="170"/>
      <c r="G1" s="170"/>
      <c r="H1" s="170"/>
      <c r="I1" s="170"/>
    </row>
    <row r="2" spans="1:9" s="27" customFormat="1" ht="18" x14ac:dyDescent="0.35">
      <c r="A2" s="165"/>
      <c r="B2" s="167"/>
      <c r="C2" s="169"/>
      <c r="D2" s="24" t="s">
        <v>62</v>
      </c>
      <c r="E2" s="24" t="s">
        <v>63</v>
      </c>
      <c r="F2" s="24" t="s">
        <v>64</v>
      </c>
      <c r="G2" s="24" t="s">
        <v>65</v>
      </c>
      <c r="H2" s="25" t="s">
        <v>66</v>
      </c>
      <c r="I2" s="26" t="s">
        <v>67</v>
      </c>
    </row>
    <row r="3" spans="1:9" ht="21.75" customHeight="1" x14ac:dyDescent="0.3">
      <c r="A3" s="171">
        <v>1</v>
      </c>
      <c r="B3" s="174" t="s">
        <v>10</v>
      </c>
      <c r="C3" s="28" t="s">
        <v>68</v>
      </c>
      <c r="D3" s="29" t="s">
        <v>69</v>
      </c>
      <c r="E3" s="29" t="s">
        <v>70</v>
      </c>
      <c r="F3" s="29" t="s">
        <v>71</v>
      </c>
      <c r="G3" s="29" t="s">
        <v>72</v>
      </c>
      <c r="H3" s="30" t="s">
        <v>73</v>
      </c>
      <c r="I3" s="157">
        <v>5</v>
      </c>
    </row>
    <row r="4" spans="1:9" ht="36" customHeight="1" x14ac:dyDescent="0.3">
      <c r="A4" s="172"/>
      <c r="B4" s="155"/>
      <c r="C4" s="28" t="s">
        <v>74</v>
      </c>
      <c r="D4" s="31" t="s">
        <v>75</v>
      </c>
      <c r="E4" s="31" t="s">
        <v>76</v>
      </c>
      <c r="F4" s="31" t="s">
        <v>77</v>
      </c>
      <c r="G4" s="31" t="s">
        <v>78</v>
      </c>
      <c r="H4" s="32" t="s">
        <v>79</v>
      </c>
      <c r="I4" s="157"/>
    </row>
    <row r="5" spans="1:9" ht="71.25" customHeight="1" x14ac:dyDescent="0.3">
      <c r="A5" s="172"/>
      <c r="B5" s="155"/>
      <c r="C5" s="28" t="s">
        <v>80</v>
      </c>
      <c r="D5" s="31" t="s">
        <v>81</v>
      </c>
      <c r="E5" s="31" t="s">
        <v>226</v>
      </c>
      <c r="F5" s="31" t="s">
        <v>227</v>
      </c>
      <c r="G5" s="31" t="s">
        <v>82</v>
      </c>
      <c r="H5" s="32" t="s">
        <v>83</v>
      </c>
      <c r="I5" s="62">
        <v>5</v>
      </c>
    </row>
    <row r="6" spans="1:9" ht="71.25" customHeight="1" thickBot="1" x14ac:dyDescent="0.35">
      <c r="A6" s="173"/>
      <c r="B6" s="156"/>
      <c r="C6" s="28" t="s">
        <v>84</v>
      </c>
      <c r="D6" s="31" t="s">
        <v>81</v>
      </c>
      <c r="E6" s="31" t="s">
        <v>228</v>
      </c>
      <c r="F6" s="31" t="s">
        <v>229</v>
      </c>
      <c r="G6" s="31" t="s">
        <v>82</v>
      </c>
      <c r="H6" s="32" t="s">
        <v>83</v>
      </c>
      <c r="I6" s="63">
        <v>5</v>
      </c>
    </row>
    <row r="7" spans="1:9" ht="28.8" x14ac:dyDescent="0.3">
      <c r="A7" s="151">
        <v>2</v>
      </c>
      <c r="B7" s="154" t="s">
        <v>17</v>
      </c>
      <c r="C7" s="34" t="s">
        <v>85</v>
      </c>
      <c r="D7" s="35" t="s">
        <v>86</v>
      </c>
      <c r="E7" s="35" t="s">
        <v>87</v>
      </c>
      <c r="F7" s="35" t="s">
        <v>88</v>
      </c>
      <c r="G7" s="35" t="s">
        <v>89</v>
      </c>
      <c r="H7" s="36" t="s">
        <v>90</v>
      </c>
      <c r="I7" s="157">
        <v>5</v>
      </c>
    </row>
    <row r="8" spans="1:9" ht="57.6" x14ac:dyDescent="0.3">
      <c r="A8" s="152">
        <v>2</v>
      </c>
      <c r="B8" s="155"/>
      <c r="C8" s="37" t="s">
        <v>91</v>
      </c>
      <c r="D8" s="31" t="s">
        <v>92</v>
      </c>
      <c r="E8" s="31" t="s">
        <v>93</v>
      </c>
      <c r="F8" s="31" t="s">
        <v>94</v>
      </c>
      <c r="G8" s="31" t="s">
        <v>95</v>
      </c>
      <c r="H8" s="32" t="s">
        <v>96</v>
      </c>
      <c r="I8" s="157"/>
    </row>
    <row r="9" spans="1:9" ht="28.8" x14ac:dyDescent="0.3">
      <c r="A9" s="152"/>
      <c r="B9" s="155"/>
      <c r="C9" s="37" t="s">
        <v>97</v>
      </c>
      <c r="D9" s="29" t="s">
        <v>98</v>
      </c>
      <c r="E9" s="29" t="s">
        <v>99</v>
      </c>
      <c r="F9" s="29" t="s">
        <v>100</v>
      </c>
      <c r="G9" s="29" t="s">
        <v>101</v>
      </c>
      <c r="H9" s="30" t="s">
        <v>102</v>
      </c>
      <c r="I9" s="33">
        <v>5</v>
      </c>
    </row>
    <row r="10" spans="1:9" ht="43.2" x14ac:dyDescent="0.3">
      <c r="A10" s="152"/>
      <c r="B10" s="155"/>
      <c r="C10" s="67" t="s">
        <v>103</v>
      </c>
      <c r="D10" s="29" t="s">
        <v>104</v>
      </c>
      <c r="E10" s="31" t="s">
        <v>105</v>
      </c>
      <c r="F10" s="31" t="s">
        <v>106</v>
      </c>
      <c r="G10" s="31" t="s">
        <v>107</v>
      </c>
      <c r="H10" s="32" t="s">
        <v>108</v>
      </c>
      <c r="I10" s="33">
        <v>5</v>
      </c>
    </row>
    <row r="11" spans="1:9" ht="29.4" thickBot="1" x14ac:dyDescent="0.35">
      <c r="A11" s="153"/>
      <c r="B11" s="156"/>
      <c r="C11" s="38" t="s">
        <v>109</v>
      </c>
      <c r="D11" s="39" t="s">
        <v>110</v>
      </c>
      <c r="E11" s="39" t="s">
        <v>111</v>
      </c>
      <c r="F11" s="39" t="s">
        <v>112</v>
      </c>
      <c r="G11" s="39" t="s">
        <v>113</v>
      </c>
      <c r="H11" s="40" t="s">
        <v>114</v>
      </c>
      <c r="I11" s="33">
        <v>5</v>
      </c>
    </row>
    <row r="12" spans="1:9" ht="83.25" customHeight="1" x14ac:dyDescent="0.3">
      <c r="A12" s="158">
        <v>3</v>
      </c>
      <c r="B12" s="154" t="s">
        <v>24</v>
      </c>
      <c r="C12" s="41" t="s">
        <v>115</v>
      </c>
      <c r="D12" s="42" t="s">
        <v>116</v>
      </c>
      <c r="E12" s="42" t="s">
        <v>117</v>
      </c>
      <c r="F12" s="42" t="s">
        <v>118</v>
      </c>
      <c r="G12" s="42" t="s">
        <v>119</v>
      </c>
      <c r="H12" s="43" t="s">
        <v>120</v>
      </c>
      <c r="I12" s="162">
        <v>5</v>
      </c>
    </row>
    <row r="13" spans="1:9" ht="43.2" x14ac:dyDescent="0.3">
      <c r="A13" s="159"/>
      <c r="B13" s="155"/>
      <c r="C13" s="37" t="s">
        <v>121</v>
      </c>
      <c r="D13" s="29" t="s">
        <v>122</v>
      </c>
      <c r="E13" s="29" t="s">
        <v>123</v>
      </c>
      <c r="F13" s="29" t="s">
        <v>124</v>
      </c>
      <c r="G13" s="29" t="s">
        <v>125</v>
      </c>
      <c r="H13" s="30" t="s">
        <v>126</v>
      </c>
      <c r="I13" s="163"/>
    </row>
    <row r="14" spans="1:9" ht="63" customHeight="1" x14ac:dyDescent="0.3">
      <c r="A14" s="159"/>
      <c r="B14" s="155"/>
      <c r="C14" s="37" t="s">
        <v>127</v>
      </c>
      <c r="D14" s="29" t="s">
        <v>128</v>
      </c>
      <c r="E14" s="29" t="s">
        <v>129</v>
      </c>
      <c r="F14" s="29" t="s">
        <v>130</v>
      </c>
      <c r="G14" s="29" t="s">
        <v>131</v>
      </c>
      <c r="H14" s="30" t="s">
        <v>132</v>
      </c>
      <c r="I14" s="44">
        <v>5</v>
      </c>
    </row>
    <row r="15" spans="1:9" ht="86.4" x14ac:dyDescent="0.3">
      <c r="A15" s="159"/>
      <c r="B15" s="155"/>
      <c r="C15" s="37" t="s">
        <v>133</v>
      </c>
      <c r="D15" s="29" t="s">
        <v>134</v>
      </c>
      <c r="E15" s="29" t="s">
        <v>135</v>
      </c>
      <c r="F15" s="29" t="s">
        <v>136</v>
      </c>
      <c r="G15" s="29" t="s">
        <v>137</v>
      </c>
      <c r="H15" s="30" t="s">
        <v>138</v>
      </c>
      <c r="I15" s="45">
        <v>5</v>
      </c>
    </row>
    <row r="16" spans="1:9" ht="86.4" x14ac:dyDescent="0.3">
      <c r="A16" s="160"/>
      <c r="B16" s="161"/>
      <c r="C16" s="28" t="s">
        <v>139</v>
      </c>
      <c r="D16" s="29" t="s">
        <v>134</v>
      </c>
      <c r="E16" s="29" t="s">
        <v>135</v>
      </c>
      <c r="F16" s="29" t="s">
        <v>136</v>
      </c>
      <c r="G16" s="29" t="s">
        <v>137</v>
      </c>
      <c r="H16" s="30" t="s">
        <v>138</v>
      </c>
      <c r="I16" s="33">
        <v>5</v>
      </c>
    </row>
    <row r="17" spans="1:9" ht="72" customHeight="1" x14ac:dyDescent="0.3">
      <c r="A17" s="144">
        <v>4</v>
      </c>
      <c r="B17" s="146" t="s">
        <v>31</v>
      </c>
      <c r="C17" s="28" t="s">
        <v>140</v>
      </c>
      <c r="D17" s="28" t="s">
        <v>141</v>
      </c>
      <c r="E17" s="28" t="s">
        <v>142</v>
      </c>
      <c r="F17" s="28" t="s">
        <v>143</v>
      </c>
      <c r="G17" s="28" t="s">
        <v>144</v>
      </c>
      <c r="H17" s="46" t="s">
        <v>145</v>
      </c>
      <c r="I17" s="33">
        <v>5</v>
      </c>
    </row>
    <row r="18" spans="1:9" ht="43.2" x14ac:dyDescent="0.3">
      <c r="A18" s="144"/>
      <c r="B18" s="146"/>
      <c r="C18" s="28" t="s">
        <v>146</v>
      </c>
      <c r="D18" s="29" t="s">
        <v>147</v>
      </c>
      <c r="E18" s="29" t="s">
        <v>148</v>
      </c>
      <c r="F18" s="29" t="s">
        <v>149</v>
      </c>
      <c r="G18" s="29" t="s">
        <v>150</v>
      </c>
      <c r="H18" s="30" t="s">
        <v>151</v>
      </c>
      <c r="I18" s="33">
        <v>5</v>
      </c>
    </row>
    <row r="19" spans="1:9" ht="57.6" x14ac:dyDescent="0.3">
      <c r="A19" s="144"/>
      <c r="B19" s="146"/>
      <c r="C19" s="28" t="s">
        <v>152</v>
      </c>
      <c r="D19" s="29" t="s">
        <v>153</v>
      </c>
      <c r="E19" s="29" t="s">
        <v>154</v>
      </c>
      <c r="F19" s="29" t="s">
        <v>155</v>
      </c>
      <c r="G19" s="29" t="s">
        <v>156</v>
      </c>
      <c r="H19" s="30" t="s">
        <v>157</v>
      </c>
      <c r="I19" s="33">
        <v>5</v>
      </c>
    </row>
    <row r="20" spans="1:9" ht="79.2" x14ac:dyDescent="0.3">
      <c r="A20" s="144"/>
      <c r="B20" s="146"/>
      <c r="C20" s="28" t="s">
        <v>158</v>
      </c>
      <c r="D20" s="29" t="s">
        <v>159</v>
      </c>
      <c r="E20" s="29" t="s">
        <v>160</v>
      </c>
      <c r="F20" s="29" t="s">
        <v>161</v>
      </c>
      <c r="G20" s="29" t="s">
        <v>162</v>
      </c>
      <c r="H20" s="30" t="s">
        <v>163</v>
      </c>
      <c r="I20" s="33">
        <v>5</v>
      </c>
    </row>
    <row r="21" spans="1:9" ht="86.4" x14ac:dyDescent="0.3">
      <c r="A21" s="148">
        <v>5</v>
      </c>
      <c r="B21" s="149" t="s">
        <v>164</v>
      </c>
      <c r="C21" s="28" t="s">
        <v>165</v>
      </c>
      <c r="D21" s="31" t="s">
        <v>166</v>
      </c>
      <c r="E21" s="31" t="s">
        <v>167</v>
      </c>
      <c r="F21" s="31" t="s">
        <v>168</v>
      </c>
      <c r="G21" s="31" t="s">
        <v>169</v>
      </c>
      <c r="H21" s="32" t="s">
        <v>170</v>
      </c>
      <c r="I21" s="47">
        <v>5</v>
      </c>
    </row>
    <row r="22" spans="1:9" ht="86.4" x14ac:dyDescent="0.3">
      <c r="A22" s="148"/>
      <c r="B22" s="149"/>
      <c r="C22" s="28" t="s">
        <v>171</v>
      </c>
      <c r="D22" s="31" t="s">
        <v>172</v>
      </c>
      <c r="E22" s="31" t="s">
        <v>173</v>
      </c>
      <c r="F22" s="31" t="s">
        <v>174</v>
      </c>
      <c r="G22" s="31" t="s">
        <v>175</v>
      </c>
      <c r="H22" s="32" t="s">
        <v>176</v>
      </c>
      <c r="I22" s="47">
        <v>5</v>
      </c>
    </row>
    <row r="23" spans="1:9" ht="56.25" customHeight="1" x14ac:dyDescent="0.3">
      <c r="A23" s="148"/>
      <c r="B23" s="149"/>
      <c r="C23" s="28" t="s">
        <v>177</v>
      </c>
      <c r="D23" s="31" t="s">
        <v>178</v>
      </c>
      <c r="E23" s="31" t="s">
        <v>179</v>
      </c>
      <c r="F23" s="31" t="s">
        <v>180</v>
      </c>
      <c r="G23" s="31" t="s">
        <v>181</v>
      </c>
      <c r="H23" s="32" t="s">
        <v>182</v>
      </c>
      <c r="I23" s="47">
        <v>5</v>
      </c>
    </row>
    <row r="24" spans="1:9" ht="86.4" x14ac:dyDescent="0.3">
      <c r="A24" s="148"/>
      <c r="B24" s="149"/>
      <c r="C24" s="48" t="s">
        <v>183</v>
      </c>
      <c r="D24" s="49" t="s">
        <v>184</v>
      </c>
      <c r="E24" s="50" t="s">
        <v>185</v>
      </c>
      <c r="F24" s="50" t="s">
        <v>186</v>
      </c>
      <c r="G24" s="51" t="s">
        <v>187</v>
      </c>
      <c r="H24" s="52" t="s">
        <v>188</v>
      </c>
      <c r="I24" s="47">
        <v>5</v>
      </c>
    </row>
    <row r="25" spans="1:9" ht="86.4" x14ac:dyDescent="0.3">
      <c r="A25" s="148"/>
      <c r="B25" s="149"/>
      <c r="C25" s="53" t="s">
        <v>189</v>
      </c>
      <c r="D25" s="31" t="s">
        <v>184</v>
      </c>
      <c r="E25" s="31" t="s">
        <v>190</v>
      </c>
      <c r="F25" s="31" t="s">
        <v>191</v>
      </c>
      <c r="G25" s="31" t="s">
        <v>192</v>
      </c>
      <c r="H25" s="32" t="s">
        <v>188</v>
      </c>
      <c r="I25" s="47">
        <v>5</v>
      </c>
    </row>
    <row r="26" spans="1:9" ht="66.75" customHeight="1" x14ac:dyDescent="0.3">
      <c r="A26" s="150">
        <v>6</v>
      </c>
      <c r="B26" s="149" t="s">
        <v>246</v>
      </c>
      <c r="C26" s="54" t="s">
        <v>193</v>
      </c>
      <c r="D26" s="49" t="s">
        <v>194</v>
      </c>
      <c r="E26" s="55" t="s">
        <v>195</v>
      </c>
      <c r="F26" s="55" t="s">
        <v>196</v>
      </c>
      <c r="G26" s="55" t="s">
        <v>197</v>
      </c>
      <c r="H26" s="56" t="s">
        <v>198</v>
      </c>
      <c r="I26" s="141">
        <v>5</v>
      </c>
    </row>
    <row r="27" spans="1:9" ht="57.6" x14ac:dyDescent="0.3">
      <c r="A27" s="150"/>
      <c r="B27" s="149"/>
      <c r="C27" s="28" t="s">
        <v>199</v>
      </c>
      <c r="D27" s="31" t="s">
        <v>200</v>
      </c>
      <c r="E27" s="55" t="s">
        <v>201</v>
      </c>
      <c r="F27" s="55" t="s">
        <v>202</v>
      </c>
      <c r="G27" s="55" t="s">
        <v>203</v>
      </c>
      <c r="H27" s="56" t="s">
        <v>204</v>
      </c>
      <c r="I27" s="142"/>
    </row>
    <row r="28" spans="1:9" ht="43.2" x14ac:dyDescent="0.3">
      <c r="A28" s="150"/>
      <c r="B28" s="149"/>
      <c r="C28" s="28" t="s">
        <v>205</v>
      </c>
      <c r="D28" s="31" t="s">
        <v>206</v>
      </c>
      <c r="E28" s="31" t="s">
        <v>207</v>
      </c>
      <c r="F28" s="31" t="s">
        <v>208</v>
      </c>
      <c r="G28" s="31" t="s">
        <v>209</v>
      </c>
      <c r="H28" s="32" t="s">
        <v>210</v>
      </c>
      <c r="I28" s="142"/>
    </row>
    <row r="29" spans="1:9" ht="43.2" x14ac:dyDescent="0.3">
      <c r="A29" s="150"/>
      <c r="B29" s="149"/>
      <c r="C29" s="28" t="s">
        <v>211</v>
      </c>
      <c r="D29" s="31" t="s">
        <v>212</v>
      </c>
      <c r="E29" s="31" t="s">
        <v>213</v>
      </c>
      <c r="F29" s="31" t="s">
        <v>214</v>
      </c>
      <c r="G29" s="31" t="s">
        <v>215</v>
      </c>
      <c r="H29" s="32" t="s">
        <v>216</v>
      </c>
      <c r="I29" s="143"/>
    </row>
    <row r="30" spans="1:9" ht="72.75" customHeight="1" x14ac:dyDescent="0.3">
      <c r="A30" s="66"/>
      <c r="B30" s="65"/>
      <c r="C30" s="28"/>
      <c r="D30" s="31" t="s">
        <v>247</v>
      </c>
      <c r="E30" s="31" t="s">
        <v>248</v>
      </c>
      <c r="F30" s="31" t="s">
        <v>249</v>
      </c>
      <c r="G30" s="31" t="s">
        <v>250</v>
      </c>
      <c r="H30" s="31" t="s">
        <v>251</v>
      </c>
      <c r="I30" s="64"/>
    </row>
    <row r="31" spans="1:9" ht="90.75" customHeight="1" x14ac:dyDescent="0.3">
      <c r="A31" s="144">
        <v>7</v>
      </c>
      <c r="B31" s="146" t="s">
        <v>52</v>
      </c>
      <c r="C31" s="28" t="s">
        <v>217</v>
      </c>
      <c r="D31" s="29" t="s">
        <v>230</v>
      </c>
      <c r="E31" s="29" t="s">
        <v>231</v>
      </c>
      <c r="F31" s="29" t="s">
        <v>232</v>
      </c>
      <c r="G31" s="29" t="s">
        <v>233</v>
      </c>
      <c r="H31" s="30" t="s">
        <v>234</v>
      </c>
      <c r="I31" s="33">
        <v>5</v>
      </c>
    </row>
    <row r="32" spans="1:9" ht="104.25" customHeight="1" x14ac:dyDescent="0.3">
      <c r="A32" s="144"/>
      <c r="B32" s="146"/>
      <c r="C32" s="28" t="s">
        <v>218</v>
      </c>
      <c r="D32" s="29" t="s">
        <v>235</v>
      </c>
      <c r="E32" s="29" t="s">
        <v>236</v>
      </c>
      <c r="F32" s="29" t="s">
        <v>237</v>
      </c>
      <c r="G32" s="29" t="s">
        <v>238</v>
      </c>
      <c r="H32" s="30" t="s">
        <v>239</v>
      </c>
      <c r="I32" s="33">
        <v>5</v>
      </c>
    </row>
    <row r="33" spans="1:9" ht="57.6" x14ac:dyDescent="0.3">
      <c r="A33" s="144"/>
      <c r="B33" s="146"/>
      <c r="C33" s="28" t="s">
        <v>219</v>
      </c>
      <c r="D33" s="29" t="s">
        <v>240</v>
      </c>
      <c r="E33" s="29" t="s">
        <v>241</v>
      </c>
      <c r="F33" s="29" t="s">
        <v>242</v>
      </c>
      <c r="G33" s="29" t="s">
        <v>243</v>
      </c>
      <c r="H33" s="30" t="s">
        <v>244</v>
      </c>
      <c r="I33" s="33">
        <v>5</v>
      </c>
    </row>
    <row r="34" spans="1:9" ht="96.75" customHeight="1" thickBot="1" x14ac:dyDescent="0.35">
      <c r="A34" s="145"/>
      <c r="B34" s="147"/>
      <c r="C34" s="57" t="s">
        <v>220</v>
      </c>
      <c r="D34" s="39" t="s">
        <v>221</v>
      </c>
      <c r="E34" s="39" t="s">
        <v>222</v>
      </c>
      <c r="F34" s="39" t="s">
        <v>223</v>
      </c>
      <c r="G34" s="39" t="s">
        <v>224</v>
      </c>
      <c r="H34" s="40" t="s">
        <v>225</v>
      </c>
      <c r="I34" s="33">
        <v>5</v>
      </c>
    </row>
    <row r="35" spans="1:9" x14ac:dyDescent="0.3">
      <c r="I35" s="33">
        <f>SUM(I31:I34)</f>
        <v>20</v>
      </c>
    </row>
  </sheetData>
  <mergeCells count="22">
    <mergeCell ref="A1:A2"/>
    <mergeCell ref="B1:B2"/>
    <mergeCell ref="C1:C2"/>
    <mergeCell ref="D1:I1"/>
    <mergeCell ref="A3:A6"/>
    <mergeCell ref="B3:B6"/>
    <mergeCell ref="I3:I4"/>
    <mergeCell ref="A7:A11"/>
    <mergeCell ref="B7:B11"/>
    <mergeCell ref="I7:I8"/>
    <mergeCell ref="A12:A16"/>
    <mergeCell ref="B12:B16"/>
    <mergeCell ref="I12:I13"/>
    <mergeCell ref="I26:I29"/>
    <mergeCell ref="A31:A34"/>
    <mergeCell ref="B31:B34"/>
    <mergeCell ref="A17:A20"/>
    <mergeCell ref="B17:B20"/>
    <mergeCell ref="A21:A25"/>
    <mergeCell ref="B21:B25"/>
    <mergeCell ref="A26:A29"/>
    <mergeCell ref="B26:B29"/>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O37"/>
  <sheetViews>
    <sheetView tabSelected="1" zoomScale="70" zoomScaleNormal="70" zoomScaleSheetLayoutView="80" workbookViewId="0">
      <pane xSplit="3" ySplit="3" topLeftCell="D28" activePane="bottomRight" state="frozen"/>
      <selection pane="topRight" activeCell="C1" sqref="C1"/>
      <selection pane="bottomLeft" activeCell="A4" sqref="A4"/>
      <selection pane="bottomRight" activeCell="F40" sqref="F40"/>
    </sheetView>
  </sheetViews>
  <sheetFormatPr defaultRowHeight="14.4" x14ac:dyDescent="0.3"/>
  <cols>
    <col min="2" max="2" width="5.6640625" style="58" bestFit="1" customWidth="1"/>
    <col min="3" max="3" width="18.109375" style="59" customWidth="1"/>
    <col min="4" max="4" width="23.88671875" customWidth="1"/>
    <col min="5" max="9" width="27.88671875" style="60" customWidth="1"/>
    <col min="10" max="10" width="11.5546875" style="61" customWidth="1"/>
  </cols>
  <sheetData>
    <row r="2" spans="2:15" ht="18" x14ac:dyDescent="0.3">
      <c r="B2" s="178" t="s">
        <v>59</v>
      </c>
      <c r="C2" s="167" t="s">
        <v>60</v>
      </c>
      <c r="D2" s="169" t="s">
        <v>2</v>
      </c>
      <c r="E2" s="170" t="s">
        <v>61</v>
      </c>
      <c r="F2" s="170"/>
      <c r="G2" s="170"/>
      <c r="H2" s="170"/>
      <c r="I2" s="170"/>
      <c r="J2" s="170"/>
      <c r="K2" s="170"/>
    </row>
    <row r="3" spans="2:15" s="27" customFormat="1" ht="18" x14ac:dyDescent="0.35">
      <c r="B3" s="178"/>
      <c r="C3" s="167"/>
      <c r="D3" s="169"/>
      <c r="E3" s="72" t="s">
        <v>62</v>
      </c>
      <c r="F3" s="72" t="s">
        <v>63</v>
      </c>
      <c r="G3" s="72" t="s">
        <v>64</v>
      </c>
      <c r="H3" s="72" t="s">
        <v>65</v>
      </c>
      <c r="I3" s="72" t="s">
        <v>66</v>
      </c>
      <c r="J3" s="70" t="s">
        <v>67</v>
      </c>
      <c r="K3" s="70" t="s">
        <v>67</v>
      </c>
    </row>
    <row r="4" spans="2:15" ht="57" customHeight="1" x14ac:dyDescent="0.3">
      <c r="B4" s="176">
        <v>1</v>
      </c>
      <c r="C4" s="176" t="s">
        <v>10</v>
      </c>
      <c r="D4" s="28" t="s">
        <v>68</v>
      </c>
      <c r="E4" s="81" t="s">
        <v>295</v>
      </c>
      <c r="F4" s="29" t="s">
        <v>70</v>
      </c>
      <c r="G4" s="29" t="s">
        <v>71</v>
      </c>
      <c r="H4" s="29" t="s">
        <v>296</v>
      </c>
      <c r="I4" s="29" t="s">
        <v>290</v>
      </c>
      <c r="J4" s="157">
        <v>4</v>
      </c>
      <c r="K4" s="157">
        <v>15</v>
      </c>
    </row>
    <row r="5" spans="2:15" ht="94.5" customHeight="1" x14ac:dyDescent="0.3">
      <c r="B5" s="176"/>
      <c r="C5" s="176"/>
      <c r="D5" s="28" t="s">
        <v>74</v>
      </c>
      <c r="E5" s="81" t="s">
        <v>294</v>
      </c>
      <c r="F5" s="81" t="s">
        <v>291</v>
      </c>
      <c r="G5" s="81" t="s">
        <v>292</v>
      </c>
      <c r="H5" s="31" t="s">
        <v>293</v>
      </c>
      <c r="I5" s="31" t="s">
        <v>79</v>
      </c>
      <c r="J5" s="157"/>
      <c r="K5" s="157"/>
      <c r="N5">
        <f>1410</f>
        <v>1410</v>
      </c>
      <c r="O5" t="s">
        <v>310</v>
      </c>
    </row>
    <row r="6" spans="2:15" ht="94.5" customHeight="1" x14ac:dyDescent="0.3">
      <c r="B6" s="176"/>
      <c r="C6" s="176"/>
      <c r="D6" s="28" t="s">
        <v>301</v>
      </c>
      <c r="E6" s="81" t="s">
        <v>247</v>
      </c>
      <c r="F6" s="81" t="s">
        <v>248</v>
      </c>
      <c r="G6" s="81" t="s">
        <v>249</v>
      </c>
      <c r="H6" s="81" t="s">
        <v>250</v>
      </c>
      <c r="I6" s="31" t="s">
        <v>251</v>
      </c>
      <c r="J6" s="47">
        <v>4</v>
      </c>
      <c r="K6" s="157"/>
      <c r="N6">
        <v>1527</v>
      </c>
    </row>
    <row r="7" spans="2:15" ht="28.8" x14ac:dyDescent="0.3">
      <c r="B7" s="176">
        <v>2</v>
      </c>
      <c r="C7" s="146" t="s">
        <v>17</v>
      </c>
      <c r="D7" s="28" t="s">
        <v>261</v>
      </c>
      <c r="E7" s="81" t="s">
        <v>86</v>
      </c>
      <c r="F7" s="81" t="s">
        <v>87</v>
      </c>
      <c r="G7" s="81" t="s">
        <v>88</v>
      </c>
      <c r="H7" s="31" t="s">
        <v>89</v>
      </c>
      <c r="I7" s="31" t="s">
        <v>90</v>
      </c>
      <c r="J7" s="157">
        <v>3</v>
      </c>
      <c r="K7" s="177">
        <v>20</v>
      </c>
    </row>
    <row r="8" spans="2:15" ht="57.6" x14ac:dyDescent="0.3">
      <c r="B8" s="176">
        <v>2</v>
      </c>
      <c r="C8" s="146"/>
      <c r="D8" s="29" t="s">
        <v>262</v>
      </c>
      <c r="E8" s="81" t="s">
        <v>92</v>
      </c>
      <c r="F8" s="81" t="s">
        <v>93</v>
      </c>
      <c r="G8" s="81" t="s">
        <v>94</v>
      </c>
      <c r="H8" s="31" t="s">
        <v>95</v>
      </c>
      <c r="I8" s="31" t="s">
        <v>266</v>
      </c>
      <c r="J8" s="157"/>
      <c r="K8" s="177"/>
    </row>
    <row r="9" spans="2:15" ht="28.8" x14ac:dyDescent="0.3">
      <c r="B9" s="176"/>
      <c r="C9" s="146"/>
      <c r="D9" s="71" t="s">
        <v>264</v>
      </c>
      <c r="E9" s="81" t="s">
        <v>98</v>
      </c>
      <c r="F9" s="81" t="s">
        <v>99</v>
      </c>
      <c r="G9" s="81" t="s">
        <v>100</v>
      </c>
      <c r="H9" s="81" t="s">
        <v>101</v>
      </c>
      <c r="I9" s="29" t="s">
        <v>102</v>
      </c>
      <c r="J9" s="69">
        <v>4</v>
      </c>
      <c r="K9" s="177"/>
    </row>
    <row r="10" spans="2:15" ht="43.2" x14ac:dyDescent="0.3">
      <c r="B10" s="176"/>
      <c r="C10" s="146"/>
      <c r="D10" s="29" t="s">
        <v>263</v>
      </c>
      <c r="E10" s="81" t="s">
        <v>104</v>
      </c>
      <c r="F10" s="81" t="s">
        <v>105</v>
      </c>
      <c r="G10" s="81" t="s">
        <v>106</v>
      </c>
      <c r="H10" s="31" t="s">
        <v>107</v>
      </c>
      <c r="I10" s="31" t="s">
        <v>108</v>
      </c>
      <c r="J10" s="69">
        <v>3</v>
      </c>
      <c r="K10" s="177"/>
    </row>
    <row r="11" spans="2:15" ht="28.8" x14ac:dyDescent="0.3">
      <c r="B11" s="176"/>
      <c r="C11" s="146"/>
      <c r="D11" s="71" t="s">
        <v>265</v>
      </c>
      <c r="E11" s="81" t="s">
        <v>110</v>
      </c>
      <c r="F11" s="29" t="s">
        <v>111</v>
      </c>
      <c r="G11" s="29" t="s">
        <v>112</v>
      </c>
      <c r="H11" s="29" t="s">
        <v>113</v>
      </c>
      <c r="I11" s="29" t="s">
        <v>114</v>
      </c>
      <c r="J11" s="69">
        <v>1</v>
      </c>
      <c r="K11" s="177"/>
    </row>
    <row r="12" spans="2:15" ht="83.25" customHeight="1" x14ac:dyDescent="0.3">
      <c r="B12" s="179">
        <v>3</v>
      </c>
      <c r="C12" s="146" t="s">
        <v>24</v>
      </c>
      <c r="D12" s="71" t="s">
        <v>115</v>
      </c>
      <c r="E12" s="81" t="s">
        <v>116</v>
      </c>
      <c r="F12" s="81" t="s">
        <v>117</v>
      </c>
      <c r="G12" s="29" t="s">
        <v>118</v>
      </c>
      <c r="H12" s="29" t="s">
        <v>119</v>
      </c>
      <c r="I12" s="29" t="s">
        <v>120</v>
      </c>
      <c r="J12" s="157">
        <v>2</v>
      </c>
      <c r="K12" s="177">
        <v>15</v>
      </c>
    </row>
    <row r="13" spans="2:15" ht="43.2" x14ac:dyDescent="0.3">
      <c r="B13" s="179"/>
      <c r="C13" s="146"/>
      <c r="D13" s="71" t="s">
        <v>121</v>
      </c>
      <c r="E13" s="81" t="s">
        <v>122</v>
      </c>
      <c r="F13" s="81" t="s">
        <v>123</v>
      </c>
      <c r="G13" s="29" t="s">
        <v>124</v>
      </c>
      <c r="H13" s="29" t="s">
        <v>125</v>
      </c>
      <c r="I13" s="29" t="s">
        <v>126</v>
      </c>
      <c r="J13" s="157"/>
      <c r="K13" s="177"/>
    </row>
    <row r="14" spans="2:15" ht="57.6" x14ac:dyDescent="0.3">
      <c r="B14" s="179"/>
      <c r="C14" s="146"/>
      <c r="D14" s="71" t="s">
        <v>133</v>
      </c>
      <c r="E14" s="81" t="s">
        <v>134</v>
      </c>
      <c r="F14" s="29" t="s">
        <v>254</v>
      </c>
      <c r="G14" s="29" t="s">
        <v>255</v>
      </c>
      <c r="H14" s="29" t="s">
        <v>256</v>
      </c>
      <c r="I14" s="29" t="s">
        <v>257</v>
      </c>
      <c r="J14" s="69">
        <v>1</v>
      </c>
      <c r="K14" s="177"/>
    </row>
    <row r="15" spans="2:15" ht="86.4" x14ac:dyDescent="0.3">
      <c r="B15" s="179"/>
      <c r="C15" s="146"/>
      <c r="D15" s="28" t="s">
        <v>139</v>
      </c>
      <c r="E15" s="81" t="s">
        <v>134</v>
      </c>
      <c r="F15" s="81" t="s">
        <v>135</v>
      </c>
      <c r="G15" s="81" t="s">
        <v>136</v>
      </c>
      <c r="H15" s="29" t="s">
        <v>137</v>
      </c>
      <c r="I15" s="29" t="s">
        <v>138</v>
      </c>
      <c r="J15" s="69">
        <v>3</v>
      </c>
      <c r="K15" s="177"/>
    </row>
    <row r="16" spans="2:15" ht="72" customHeight="1" x14ac:dyDescent="0.3">
      <c r="B16" s="179">
        <v>4</v>
      </c>
      <c r="C16" s="146" t="s">
        <v>31</v>
      </c>
      <c r="D16" s="28" t="s">
        <v>140</v>
      </c>
      <c r="E16" s="82" t="s">
        <v>141</v>
      </c>
      <c r="F16" s="82" t="s">
        <v>142</v>
      </c>
      <c r="G16" s="82" t="s">
        <v>143</v>
      </c>
      <c r="H16" s="28" t="s">
        <v>144</v>
      </c>
      <c r="I16" s="28" t="s">
        <v>145</v>
      </c>
      <c r="J16" s="69">
        <v>3</v>
      </c>
      <c r="K16" s="177">
        <v>20</v>
      </c>
    </row>
    <row r="17" spans="2:11" ht="43.2" x14ac:dyDescent="0.3">
      <c r="B17" s="179"/>
      <c r="C17" s="146"/>
      <c r="D17" s="28" t="s">
        <v>146</v>
      </c>
      <c r="E17" s="81" t="s">
        <v>147</v>
      </c>
      <c r="F17" s="29" t="s">
        <v>148</v>
      </c>
      <c r="G17" s="29" t="s">
        <v>149</v>
      </c>
      <c r="H17" s="29" t="s">
        <v>150</v>
      </c>
      <c r="I17" s="29" t="s">
        <v>151</v>
      </c>
      <c r="J17" s="69">
        <v>1</v>
      </c>
      <c r="K17" s="177"/>
    </row>
    <row r="18" spans="2:11" ht="57.6" x14ac:dyDescent="0.3">
      <c r="B18" s="179"/>
      <c r="C18" s="146"/>
      <c r="D18" s="28" t="s">
        <v>152</v>
      </c>
      <c r="E18" s="81" t="s">
        <v>153</v>
      </c>
      <c r="F18" s="81" t="s">
        <v>154</v>
      </c>
      <c r="G18" s="81" t="s">
        <v>155</v>
      </c>
      <c r="H18" s="29" t="s">
        <v>156</v>
      </c>
      <c r="I18" s="29" t="s">
        <v>157</v>
      </c>
      <c r="J18" s="69">
        <v>3</v>
      </c>
      <c r="K18" s="177"/>
    </row>
    <row r="19" spans="2:11" ht="72" x14ac:dyDescent="0.3">
      <c r="B19" s="179"/>
      <c r="C19" s="146"/>
      <c r="D19" s="28" t="s">
        <v>284</v>
      </c>
      <c r="E19" s="81" t="s">
        <v>159</v>
      </c>
      <c r="F19" s="29" t="s">
        <v>285</v>
      </c>
      <c r="G19" s="29" t="s">
        <v>286</v>
      </c>
      <c r="H19" s="29" t="s">
        <v>288</v>
      </c>
      <c r="I19" s="29" t="s">
        <v>289</v>
      </c>
      <c r="J19" s="69">
        <v>1</v>
      </c>
      <c r="K19" s="177"/>
    </row>
    <row r="20" spans="2:11" ht="86.4" x14ac:dyDescent="0.3">
      <c r="B20" s="180">
        <v>5</v>
      </c>
      <c r="C20" s="149" t="s">
        <v>164</v>
      </c>
      <c r="D20" s="28" t="s">
        <v>165</v>
      </c>
      <c r="E20" s="81" t="s">
        <v>166</v>
      </c>
      <c r="F20" s="81" t="s">
        <v>167</v>
      </c>
      <c r="G20" s="81" t="s">
        <v>168</v>
      </c>
      <c r="H20" s="81" t="s">
        <v>287</v>
      </c>
      <c r="I20" s="31" t="s">
        <v>170</v>
      </c>
      <c r="J20" s="47">
        <v>4</v>
      </c>
      <c r="K20" s="177">
        <v>15</v>
      </c>
    </row>
    <row r="21" spans="2:11" ht="72" x14ac:dyDescent="0.3">
      <c r="B21" s="180"/>
      <c r="C21" s="149"/>
      <c r="D21" s="28" t="s">
        <v>171</v>
      </c>
      <c r="E21" s="83" t="s">
        <v>279</v>
      </c>
      <c r="F21" s="83" t="s">
        <v>281</v>
      </c>
      <c r="G21" s="83" t="s">
        <v>280</v>
      </c>
      <c r="H21" s="83" t="s">
        <v>282</v>
      </c>
      <c r="I21" s="83" t="s">
        <v>283</v>
      </c>
      <c r="J21" s="84">
        <v>0</v>
      </c>
      <c r="K21" s="177"/>
    </row>
    <row r="22" spans="2:11" ht="56.25" customHeight="1" x14ac:dyDescent="0.3">
      <c r="B22" s="180"/>
      <c r="C22" s="149"/>
      <c r="D22" s="28" t="s">
        <v>177</v>
      </c>
      <c r="E22" s="83" t="s">
        <v>178</v>
      </c>
      <c r="F22" s="83" t="s">
        <v>179</v>
      </c>
      <c r="G22" s="83" t="s">
        <v>278</v>
      </c>
      <c r="H22" s="83" t="s">
        <v>276</v>
      </c>
      <c r="I22" s="83" t="s">
        <v>277</v>
      </c>
      <c r="J22" s="84">
        <v>0</v>
      </c>
      <c r="K22" s="177"/>
    </row>
    <row r="23" spans="2:11" ht="86.4" x14ac:dyDescent="0.3">
      <c r="B23" s="180"/>
      <c r="C23" s="149"/>
      <c r="D23" s="74" t="s">
        <v>183</v>
      </c>
      <c r="E23" s="81" t="s">
        <v>184</v>
      </c>
      <c r="F23" s="81" t="s">
        <v>185</v>
      </c>
      <c r="G23" s="31" t="s">
        <v>186</v>
      </c>
      <c r="H23" s="31" t="s">
        <v>259</v>
      </c>
      <c r="I23" s="31" t="s">
        <v>260</v>
      </c>
      <c r="J23" s="47">
        <v>2</v>
      </c>
      <c r="K23" s="177"/>
    </row>
    <row r="24" spans="2:11" ht="72" x14ac:dyDescent="0.3">
      <c r="B24" s="180"/>
      <c r="C24" s="149"/>
      <c r="D24" s="74" t="s">
        <v>275</v>
      </c>
      <c r="E24" s="81" t="s">
        <v>184</v>
      </c>
      <c r="F24" s="81" t="s">
        <v>190</v>
      </c>
      <c r="G24" s="31" t="s">
        <v>191</v>
      </c>
      <c r="H24" s="31" t="s">
        <v>192</v>
      </c>
      <c r="I24" s="31" t="s">
        <v>258</v>
      </c>
      <c r="J24" s="47">
        <v>2</v>
      </c>
      <c r="K24" s="177"/>
    </row>
    <row r="25" spans="2:11" ht="66.75" customHeight="1" x14ac:dyDescent="0.3">
      <c r="B25" s="73">
        <v>6</v>
      </c>
      <c r="C25" s="68" t="s">
        <v>246</v>
      </c>
      <c r="D25" s="28" t="s">
        <v>300</v>
      </c>
      <c r="E25" s="81" t="s">
        <v>299</v>
      </c>
      <c r="F25" s="81" t="s">
        <v>252</v>
      </c>
      <c r="G25" s="81" t="s">
        <v>253</v>
      </c>
      <c r="H25" s="81" t="s">
        <v>297</v>
      </c>
      <c r="I25" s="31" t="s">
        <v>298</v>
      </c>
      <c r="J25" s="47">
        <v>4</v>
      </c>
      <c r="K25" s="75">
        <v>5</v>
      </c>
    </row>
    <row r="26" spans="2:11" ht="90.75" customHeight="1" x14ac:dyDescent="0.3">
      <c r="B26" s="179">
        <v>7</v>
      </c>
      <c r="C26" s="146" t="s">
        <v>52</v>
      </c>
      <c r="D26" s="28" t="s">
        <v>217</v>
      </c>
      <c r="E26" s="81" t="s">
        <v>274</v>
      </c>
      <c r="F26" s="29" t="s">
        <v>231</v>
      </c>
      <c r="G26" s="29" t="s">
        <v>232</v>
      </c>
      <c r="H26" s="29" t="s">
        <v>233</v>
      </c>
      <c r="I26" s="29" t="s">
        <v>234</v>
      </c>
      <c r="J26" s="69">
        <v>1</v>
      </c>
      <c r="K26" s="175">
        <v>20</v>
      </c>
    </row>
    <row r="27" spans="2:11" ht="104.25" customHeight="1" x14ac:dyDescent="0.3">
      <c r="B27" s="179"/>
      <c r="C27" s="146"/>
      <c r="D27" s="28" t="s">
        <v>218</v>
      </c>
      <c r="E27" s="81" t="s">
        <v>235</v>
      </c>
      <c r="F27" s="29" t="s">
        <v>236</v>
      </c>
      <c r="G27" s="29" t="s">
        <v>237</v>
      </c>
      <c r="H27" s="29" t="s">
        <v>238</v>
      </c>
      <c r="I27" s="29" t="s">
        <v>239</v>
      </c>
      <c r="J27" s="69">
        <v>1</v>
      </c>
      <c r="K27" s="175"/>
    </row>
    <row r="28" spans="2:11" ht="57.6" x14ac:dyDescent="0.3">
      <c r="B28" s="179"/>
      <c r="C28" s="146"/>
      <c r="D28" s="28" t="s">
        <v>267</v>
      </c>
      <c r="E28" s="81" t="s">
        <v>268</v>
      </c>
      <c r="F28" s="81" t="s">
        <v>269</v>
      </c>
      <c r="G28" s="81" t="s">
        <v>271</v>
      </c>
      <c r="H28" s="81" t="s">
        <v>272</v>
      </c>
      <c r="I28" s="29" t="s">
        <v>273</v>
      </c>
      <c r="J28" s="69">
        <v>4</v>
      </c>
      <c r="K28" s="175"/>
    </row>
    <row r="29" spans="2:11" ht="96.75" customHeight="1" x14ac:dyDescent="0.3">
      <c r="B29" s="179"/>
      <c r="C29" s="146"/>
      <c r="D29" s="28" t="s">
        <v>220</v>
      </c>
      <c r="E29" s="81" t="s">
        <v>221</v>
      </c>
      <c r="F29" s="81" t="s">
        <v>222</v>
      </c>
      <c r="G29" s="81" t="s">
        <v>223</v>
      </c>
      <c r="H29" s="29" t="s">
        <v>270</v>
      </c>
      <c r="I29" s="29" t="s">
        <v>225</v>
      </c>
      <c r="J29" s="69">
        <v>3</v>
      </c>
      <c r="K29" s="175"/>
    </row>
    <row r="30" spans="2:11" x14ac:dyDescent="0.3">
      <c r="B30" s="76"/>
      <c r="C30" s="77"/>
      <c r="D30" s="78"/>
      <c r="E30" s="79"/>
      <c r="F30" s="79"/>
      <c r="G30" s="79"/>
      <c r="H30" s="79"/>
      <c r="I30" s="79"/>
      <c r="J30" s="69">
        <f>SUM(J4:J29)</f>
        <v>54</v>
      </c>
      <c r="K30" s="75">
        <f>SUM(K4:K29)</f>
        <v>110</v>
      </c>
    </row>
    <row r="31" spans="2:11" ht="15" thickBot="1" x14ac:dyDescent="0.35"/>
    <row r="32" spans="2:11" ht="15" thickBot="1" x14ac:dyDescent="0.35">
      <c r="B32" s="181" t="s">
        <v>302</v>
      </c>
      <c r="C32" s="182"/>
      <c r="D32" s="182"/>
      <c r="E32" s="182"/>
      <c r="F32" s="182"/>
      <c r="G32" s="182"/>
      <c r="H32" s="182"/>
      <c r="I32" s="182"/>
      <c r="J32" s="182"/>
      <c r="K32" s="183"/>
    </row>
    <row r="33" spans="2:11" ht="15" thickBot="1" x14ac:dyDescent="0.35">
      <c r="B33" s="76" t="s">
        <v>303</v>
      </c>
      <c r="C33" s="80" t="s">
        <v>304</v>
      </c>
      <c r="D33" s="91" t="s">
        <v>305</v>
      </c>
      <c r="E33" s="92"/>
      <c r="F33" s="92"/>
      <c r="G33" s="92"/>
      <c r="H33" s="93"/>
      <c r="I33" s="184" t="s">
        <v>309</v>
      </c>
      <c r="J33" s="185"/>
      <c r="K33" s="186"/>
    </row>
    <row r="34" spans="2:11" ht="64.5" customHeight="1" x14ac:dyDescent="0.3">
      <c r="B34" s="76">
        <v>1</v>
      </c>
      <c r="C34" s="77" t="s">
        <v>306</v>
      </c>
      <c r="D34" s="187" t="s">
        <v>312</v>
      </c>
      <c r="E34" s="188"/>
      <c r="F34" s="188"/>
      <c r="G34" s="188"/>
      <c r="H34" s="189"/>
      <c r="I34" s="187" t="s">
        <v>313</v>
      </c>
      <c r="J34" s="196"/>
      <c r="K34" s="197"/>
    </row>
    <row r="35" spans="2:11" ht="84" customHeight="1" x14ac:dyDescent="0.3">
      <c r="B35" s="76">
        <v>2</v>
      </c>
      <c r="C35" s="77" t="s">
        <v>307</v>
      </c>
      <c r="D35" s="190"/>
      <c r="E35" s="191"/>
      <c r="F35" s="191"/>
      <c r="G35" s="191"/>
      <c r="H35" s="192"/>
      <c r="I35" s="198"/>
      <c r="J35" s="199"/>
      <c r="K35" s="200"/>
    </row>
    <row r="36" spans="2:11" ht="66" customHeight="1" x14ac:dyDescent="0.3">
      <c r="B36" s="76">
        <v>3</v>
      </c>
      <c r="C36" s="77" t="s">
        <v>308</v>
      </c>
      <c r="D36" s="193"/>
      <c r="E36" s="194"/>
      <c r="F36" s="194"/>
      <c r="G36" s="194"/>
      <c r="H36" s="195"/>
      <c r="I36" s="201"/>
      <c r="J36" s="202"/>
      <c r="K36" s="203"/>
    </row>
    <row r="37" spans="2:11" ht="53.25" customHeight="1" x14ac:dyDescent="0.55000000000000004">
      <c r="H37" s="204" t="s">
        <v>311</v>
      </c>
      <c r="I37" s="205">
        <f>J30/(K30/5)</f>
        <v>2.4545454545454546</v>
      </c>
    </row>
  </sheetData>
  <mergeCells count="30">
    <mergeCell ref="B32:K32"/>
    <mergeCell ref="D33:H33"/>
    <mergeCell ref="I33:K33"/>
    <mergeCell ref="D34:H36"/>
    <mergeCell ref="I34:K36"/>
    <mergeCell ref="B26:B29"/>
    <mergeCell ref="C26:C29"/>
    <mergeCell ref="B16:B19"/>
    <mergeCell ref="C16:C19"/>
    <mergeCell ref="B20:B24"/>
    <mergeCell ref="C20:C24"/>
    <mergeCell ref="B7:B11"/>
    <mergeCell ref="C7:C11"/>
    <mergeCell ref="J7:J8"/>
    <mergeCell ref="B12:B15"/>
    <mergeCell ref="C12:C15"/>
    <mergeCell ref="J12:J13"/>
    <mergeCell ref="B2:B3"/>
    <mergeCell ref="C2:C3"/>
    <mergeCell ref="D2:D3"/>
    <mergeCell ref="J4:J5"/>
    <mergeCell ref="B4:B6"/>
    <mergeCell ref="K26:K29"/>
    <mergeCell ref="E2:K2"/>
    <mergeCell ref="C4:C6"/>
    <mergeCell ref="K4:K6"/>
    <mergeCell ref="K7:K11"/>
    <mergeCell ref="K12:K15"/>
    <mergeCell ref="K16:K19"/>
    <mergeCell ref="K20:K24"/>
  </mergeCells>
  <pageMargins left="0.31496062992125984" right="0.23622047244094491" top="0.35433070866141736" bottom="0.27559055118110237" header="0.31496062992125984" footer="0.31496062992125984"/>
  <pageSetup paperSize="9" scale="6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REENAROSHAN</cp:lastModifiedBy>
  <cp:lastPrinted>2025-12-29T09:36:22Z</cp:lastPrinted>
  <dcterms:created xsi:type="dcterms:W3CDTF">2025-10-25T09:43:11Z</dcterms:created>
  <dcterms:modified xsi:type="dcterms:W3CDTF">2026-01-05T06:17:15Z</dcterms:modified>
</cp:coreProperties>
</file>