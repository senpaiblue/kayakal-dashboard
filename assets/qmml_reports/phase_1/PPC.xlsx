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105692\Downloads\"/>
    </mc:Choice>
  </mc:AlternateContent>
  <bookViews>
    <workbookView xWindow="0" yWindow="0" windowWidth="28800" windowHeight="1230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sheet'!$A$1:$I$28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sheet'!$1:$2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3" l="1"/>
  <c r="J29" i="3" l="1"/>
  <c r="I29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comments2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<sst xmlns="http://schemas.openxmlformats.org/spreadsheetml/2006/main" count="443" uniqueCount="303">
  <si>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</si>
  <si>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</si>
  <si>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</si>
  <si>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</si>
  <si>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</si>
  <si>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</si>
  <si>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</si>
  <si>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</si>
  <si>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</si>
  <si>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</si>
  <si>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</si>
  <si>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</si>
  <si>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</si>
  <si>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</si>
  <si>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</si>
  <si>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</si>
  <si>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</si>
  <si>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</si>
  <si>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</si>
  <si>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</si>
  <si>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</si>
  <si>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</si>
  <si>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</si>
  <si>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</si>
  <si>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</si>
  <si>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</si>
  <si>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</si>
  <si>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</si>
  <si>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</si>
  <si>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</si>
  <si>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</si>
  <si>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</si>
  <si>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</si>
  <si>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</si>
  <si>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</si>
  <si>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</si>
  <si>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</si>
  <si>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</si>
  <si>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</si>
  <si>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</si>
  <si>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</si>
  <si>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</si>
  <si>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</si>
  <si>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</si>
  <si>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</si>
  <si>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</si>
  <si>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</si>
  <si>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</si>
  <si>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</si>
  <si>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</si>
  <si>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</si>
  <si>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</si>
  <si>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</si>
  <si>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</si>
  <si>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</si>
  <si>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</si>
  <si>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</si>
  <si>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</si>
  <si>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</si>
  <si>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</si>
  <si>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</si>
  <si>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</si>
  <si>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</si>
  <si>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</si>
  <si>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</si>
  <si>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</si>
  <si>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</si>
  <si>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</si>
  <si>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</si>
  <si>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</si>
  <si>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</si>
  <si>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</si>
  <si>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</si>
  <si>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</si>
  <si>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</si>
  <si>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</si>
  <si>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</si>
  <si>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</si>
  <si>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</si>
  <si>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</si>
  <si>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</si>
  <si>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</si>
  <si>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</si>
  <si>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</si>
  <si>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</si>
  <si>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</si>
  <si>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</si>
  <si>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</si>
  <si>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</si>
  <si>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</si>
  <si>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</si>
  <si>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</si>
  <si>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</si>
  <si>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</si>
  <si>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</si>
  <si>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</si>
  <si>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</si>
  <si>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</si>
  <si>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</si>
  <si>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</si>
  <si>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</si>
  <si>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</si>
  <si>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</si>
  <si>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</si>
  <si>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</si>
  <si>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</si>
  <si>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</si>
  <si>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</si>
  <si>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</si>
  <si>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</si>
  <si>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</si>
  <si>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</si>
  <si>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</si>
  <si>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</si>
  <si>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</si>
  <si>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</si>
  <si>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</si>
  <si>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</si>
  <si>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</si>
  <si>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</si>
  <si>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</si>
  <si>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</si>
  <si>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</si>
  <si>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</si>
  <si>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</si>
  <si>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</si>
  <si>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</si>
  <si>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</si>
  <si>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</si>
  <si>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</si>
  <si>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</si>
  <si>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</si>
  <si>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</si>
  <si>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</si>
  <si>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</si>
  <si>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</si>
  <si>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</si>
  <si>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</si>
  <si>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</si>
  <si>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</si>
  <si>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</si>
  <si>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</si>
  <si>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</si>
  <si>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</si>
  <si>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</si>
  <si>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</si>
  <si>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</si>
  <si>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</si>
  <si>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</si>
  <si>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</si>
  <si>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</si>
  <si>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</si>
  <si>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</si>
  <si>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</si>
  <si>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</si>
  <si>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</si>
  <si>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</si>
  <si>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</si>
  <si>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</si>
  <si>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</si>
  <si>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</si>
  <si>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</si>
  <si>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</si>
  <si>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</si>
  <si>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</si>
  <si>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</si>
  <si>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</si>
  <si>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</si>
  <si>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</si>
  <si>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</si>
  <si>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</si>
  <si>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</si>
  <si>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</si>
  <si>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</si>
  <si>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</si>
  <si>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</si>
  <si>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</si>
  <si>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</si>
  <si>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</si>
  <si>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</si>
  <si>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</si>
  <si>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</si>
  <si>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</si>
  <si>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</si>
  <si>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</si>
  <si>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</si>
  <si>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</si>
  <si>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</si>
  <si>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</si>
  <si>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</si>
  <si>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</si>
  <si>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</si>
  <si>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</si>
  <si>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</si>
  <si>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</si>
  <si>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</si>
  <si>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</si>
  <si>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</si>
  <si>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</si>
  <si>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</si>
  <si>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</si>
  <si>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</si>
  <si>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</si>
  <si>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</si>
  <si>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</si>
  <si>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</si>
  <si>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</si>
  <si>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</si>
  <si>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</si>
  <si>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</si>
  <si>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</si>
  <si>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</si>
  <si>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</si>
  <si>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</si>
  <si>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</si>
  <si>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</si>
  <si>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</si>
  <si>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</si>
  <si>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</si>
  <si>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</si>
  <si>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</si>
  <si>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</si>
  <si>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</si>
  <si>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</si>
  <si>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</si>
  <si>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</si>
  <si>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</si>
  <si>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</si>
  <si>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</si>
  <si>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</si>
  <si>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</si>
  <si>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</si>
  <si>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</si>
  <si>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</si>
  <si>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</si>
  <si>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</si>
  <si>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</si>
  <si>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</si>
  <si>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</si>
  <si>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</si>
  <si>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</si>
  <si>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</si>
  <si>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</si>
  <si>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</si>
  <si>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</si>
  <si>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</si>
  <si>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</si>
  <si>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</si>
  <si>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</si>
  <si>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</si>
  <si>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</si>
  <si>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</si>
  <si>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</si>
  <si>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Supplier audits being done 
(50% Compliance acceptable)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</si>
  <si>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</si>
  <si>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</si>
  <si>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</si>
  <si>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</si>
  <si>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</si>
  <si>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</si>
  <si>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</si>
  <si>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Company Vision
</t>
  </si>
  <si>
    <t># Department Business plan</t>
  </si>
  <si>
    <t xml:space="preserve"># Roles &amp; responsibility </t>
  </si>
  <si>
    <t># Policies</t>
  </si>
  <si>
    <t xml:space="preserve"># KPI </t>
  </si>
  <si>
    <t>Business plan linked to department Associates+ contract Labours
100 % Compliance to ABP</t>
  </si>
  <si>
    <t># Corrective action effectiveness 
KPI- Gap Analysis</t>
  </si>
  <si>
    <t>Corrective action available with own Criteria used</t>
  </si>
  <si>
    <t>Corrective action(CA) available with planned and TQM Criteria used</t>
  </si>
  <si>
    <t>DQC, Departmental TQM Council (DTC) meetings conducted with plan, linked to KPI, TQM activity support to improve 5%</t>
  </si>
  <si>
    <t>CA available with planned and TQM Criteria used, and aligned with M-KPI and C-KPI</t>
  </si>
  <si>
    <t>CA available with planned and TQM Criteria used, and aligned with M-KPI and C-KPI, CA supports to improve KPI 5%</t>
  </si>
  <si>
    <t>CA available with planned and TQM Criteria used, and aligned with M-KPI and C-KPI, CA supports to improve KPI 10%</t>
  </si>
  <si>
    <t>Kaizen available, own Criteria used</t>
  </si>
  <si>
    <t xml:space="preserve"># Quantitative Analysis </t>
  </si>
  <si>
    <t>Consecutive 2 years 0-Minor NC,  positive note from Certification body</t>
  </si>
  <si>
    <t>Consecutive 3 years 0-Minor NC,  positive note from Certification body</t>
  </si>
  <si>
    <t>Consecutive 2 years 0-Minor NC</t>
  </si>
  <si>
    <t>Internal Audit (IA) plan available but IA  not conducted as per the plan</t>
  </si>
  <si>
    <t xml:space="preserve"> IA plan available and  conducted as per the plan, On-time NC closed</t>
  </si>
  <si>
    <t xml:space="preserve"> IA plan available and conducted as per the plan</t>
  </si>
  <si>
    <t xml:space="preserve"> IA plan available and conducted as per the plan, On-time NC closed, NC Effectiveness monitored for 3 months.</t>
  </si>
  <si>
    <t xml:space="preserve"> IA plan available and conducted as per the plan, On-time NC closed, NC Effectiveness monitored for 3 months. Effectiveness achieved  100 % 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</si>
  <si>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</si>
  <si>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</si>
  <si>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</si>
  <si>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</si>
  <si>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</si>
  <si>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</si>
  <si>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ICS -100% along with Appreciation letters</t>
  </si>
  <si>
    <t xml:space="preserve">Average 80% Compliance </t>
  </si>
  <si>
    <t>Average 90% Compliance</t>
  </si>
  <si>
    <t>Average 100% Compliance</t>
  </si>
  <si>
    <t>All customers identified.
CSR Maintained for Critical top 5 
Automative and 
Non Automotive Customers</t>
  </si>
  <si>
    <t>identification of all customers.
ICS Index, MoU available for critical customers.</t>
  </si>
  <si>
    <t xml:space="preserve">ICS -100% </t>
  </si>
  <si>
    <t>Audit compliance been given by the supplier.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</si>
  <si>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</si>
  <si>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</si>
  <si>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</si>
  <si>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</si>
  <si>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PP1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</si>
</sst>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6" borderId="43" xfId="0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6" fillId="5" borderId="47" xfId="0" applyFont="1" applyFill="1" applyBorder="1" applyAlignment="1">
      <alignment horizontal="center" wrapText="1"/>
    </xf>
    <xf numFmtId="0" fontId="6" fillId="5" borderId="47" xfId="0" applyFont="1" applyFill="1" applyBorder="1" applyAlignment="1">
      <alignment horizontal="center" vertical="center" wrapText="1"/>
    </xf>
    <xf numFmtId="0" fontId="0" fillId="6" borderId="42" xfId="0" applyFill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6" borderId="56" xfId="0" applyFill="1" applyBorder="1" applyAlignment="1">
      <alignment horizontal="left" vertical="center" wrapText="1"/>
    </xf>
    <xf numFmtId="0" fontId="0" fillId="0" borderId="56" xfId="0" applyFill="1" applyBorder="1" applyAlignment="1">
      <alignment horizontal="left" vertical="center" wrapText="1"/>
    </xf>
    <xf numFmtId="0" fontId="0" fillId="0" borderId="56" xfId="0" applyFill="1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0" fillId="0" borderId="56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4" fillId="6" borderId="42" xfId="0" applyFont="1" applyFill="1" applyBorder="1" applyAlignment="1">
      <alignment horizontal="left" vertical="center" wrapText="1"/>
    </xf>
    <xf numFmtId="0" fontId="0" fillId="0" borderId="42" xfId="0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4" fillId="0" borderId="56" xfId="0" applyFont="1" applyFill="1" applyBorder="1" applyAlignment="1">
      <alignment vertical="center" wrapText="1"/>
    </xf>
    <xf numFmtId="0" fontId="1" fillId="0" borderId="48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left" vertical="center" wrapText="1"/>
    </xf>
    <xf numFmtId="0" fontId="4" fillId="0" borderId="63" xfId="0" applyFont="1" applyFill="1" applyBorder="1" applyAlignment="1">
      <alignment horizontal="left" vertical="center" wrapText="1"/>
    </xf>
    <xf numFmtId="0" fontId="0" fillId="7" borderId="63" xfId="0" applyFill="1" applyBorder="1" applyAlignment="1">
      <alignment horizontal="left" vertical="center" wrapText="1"/>
    </xf>
    <xf numFmtId="0" fontId="0" fillId="0" borderId="63" xfId="0" applyFill="1" applyBorder="1" applyAlignment="1">
      <alignment horizontal="center" vertical="center"/>
    </xf>
    <xf numFmtId="0" fontId="0" fillId="0" borderId="63" xfId="0" applyBorder="1" applyAlignment="1">
      <alignment vertical="center"/>
    </xf>
    <xf numFmtId="0" fontId="1" fillId="0" borderId="45" xfId="0" applyFont="1" applyBorder="1" applyAlignment="1">
      <alignment wrapText="1"/>
    </xf>
    <xf numFmtId="0" fontId="0" fillId="0" borderId="45" xfId="0" applyBorder="1"/>
    <xf numFmtId="0" fontId="0" fillId="0" borderId="45" xfId="0" applyBorder="1" applyAlignment="1">
      <alignment wrapText="1"/>
    </xf>
    <xf numFmtId="0" fontId="0" fillId="0" borderId="46" xfId="0" applyBorder="1" applyAlignment="1">
      <alignment vertical="center"/>
    </xf>
    <xf numFmtId="0" fontId="0" fillId="0" borderId="6" xfId="0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1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60" xfId="0" applyFont="1" applyBorder="1" applyAlignment="1">
      <alignment horizontal="left" vertical="center" wrapText="1"/>
    </xf>
    <xf numFmtId="0" fontId="1" fillId="0" borderId="48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left" vertical="center" wrapText="1"/>
    </xf>
    <xf numFmtId="0" fontId="1" fillId="0" borderId="60" xfId="0" applyFont="1" applyFill="1" applyBorder="1" applyAlignment="1">
      <alignment horizontal="left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6" fillId="5" borderId="61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left" vertical="center" wrapText="1"/>
    </xf>
    <xf numFmtId="0" fontId="5" fillId="5" borderId="47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vertical="center" wrapText="1"/>
    </xf>
    <xf numFmtId="0" fontId="0" fillId="0" borderId="43" xfId="0" applyFill="1" applyBorder="1" applyAlignment="1">
      <alignment vertical="center" wrapText="1"/>
    </xf>
    <xf numFmtId="0" fontId="0" fillId="0" borderId="56" xfId="0" applyFill="1" applyBorder="1" applyAlignment="1">
      <alignment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8" borderId="56" xfId="0" applyFill="1" applyBorder="1" applyAlignment="1">
      <alignment horizontal="left" vertical="center" wrapText="1"/>
    </xf>
    <xf numFmtId="0" fontId="0" fillId="8" borderId="43" xfId="0" applyFill="1" applyBorder="1" applyAlignment="1">
      <alignment horizontal="left" vertical="center" wrapText="1"/>
    </xf>
    <xf numFmtId="0" fontId="0" fillId="8" borderId="4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es"/>
      <sheetName val="Schedule - 2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ivot-total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1">
        <row r="1">
          <cell r="A1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_Prfl_28"/>
      <sheetName val="Sheet1"/>
      <sheetName val="Sheet4"/>
      <sheetName val="LPG"/>
      <sheetName val="ON LINE"/>
      <sheetName val="Bar chrt"/>
      <sheetName val="ctl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>
        <row r="1">
          <cell r="A1" t="str">
            <v>DATE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h__Prfl_01"/>
      <sheetName val="Sheet6"/>
      <sheetName val="Sheet5"/>
      <sheetName val="on-line"/>
      <sheetName val="Sheet3"/>
      <sheetName val="CTL"/>
      <sheetName val="Sheet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>
        <row r="1">
          <cell r="A1" t="str">
            <v>DATE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rojects-Live"/>
      <sheetName val="PACKING_LIST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zoomScale="80" zoomScaleNormal="100" zoomScaleSheetLayoutView="80" workbookViewId="0">
      <selection activeCell="D11" sqref="D11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04"/>
      <c r="B1" s="105"/>
      <c r="C1" s="106" t="s">
        <v>245</v>
      </c>
      <c r="D1" s="107"/>
      <c r="E1" s="107"/>
      <c r="F1" s="107"/>
      <c r="G1" s="107"/>
      <c r="H1" s="107"/>
      <c r="I1" s="107"/>
      <c r="J1" s="107"/>
      <c r="K1" s="107"/>
      <c r="L1" s="107"/>
      <c r="M1" s="108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09" t="s">
        <v>9</v>
      </c>
      <c r="K2" s="110"/>
      <c r="L2" s="110"/>
      <c r="M2" s="111"/>
    </row>
    <row r="3" spans="1:13" ht="37.5" customHeight="1" x14ac:dyDescent="0.25">
      <c r="A3" s="112">
        <v>1</v>
      </c>
      <c r="B3" s="115" t="s">
        <v>10</v>
      </c>
      <c r="C3" s="118" t="s">
        <v>11</v>
      </c>
      <c r="D3" s="121" t="s">
        <v>12</v>
      </c>
      <c r="E3" s="121" t="s">
        <v>13</v>
      </c>
      <c r="F3" s="121" t="s">
        <v>14</v>
      </c>
      <c r="G3" s="121" t="s">
        <v>15</v>
      </c>
      <c r="H3" s="124" t="s">
        <v>16</v>
      </c>
      <c r="I3" s="127"/>
      <c r="J3" s="129"/>
      <c r="K3" s="130"/>
      <c r="L3" s="130"/>
      <c r="M3" s="131"/>
    </row>
    <row r="4" spans="1:13" x14ac:dyDescent="0.25">
      <c r="A4" s="113"/>
      <c r="B4" s="116"/>
      <c r="C4" s="119"/>
      <c r="D4" s="122"/>
      <c r="E4" s="122"/>
      <c r="F4" s="122"/>
      <c r="G4" s="122"/>
      <c r="H4" s="125"/>
      <c r="I4" s="127"/>
      <c r="J4" s="132"/>
      <c r="K4" s="133"/>
      <c r="L4" s="133"/>
      <c r="M4" s="134"/>
    </row>
    <row r="5" spans="1:13" ht="15.75" thickBot="1" x14ac:dyDescent="0.3">
      <c r="A5" s="114"/>
      <c r="B5" s="117"/>
      <c r="C5" s="120"/>
      <c r="D5" s="123"/>
      <c r="E5" s="123"/>
      <c r="F5" s="123"/>
      <c r="G5" s="123"/>
      <c r="H5" s="126"/>
      <c r="I5" s="128"/>
      <c r="J5" s="135"/>
      <c r="K5" s="136"/>
      <c r="L5" s="136"/>
      <c r="M5" s="137"/>
    </row>
    <row r="6" spans="1:13" x14ac:dyDescent="0.25">
      <c r="A6" s="138">
        <v>2</v>
      </c>
      <c r="B6" s="141" t="s">
        <v>17</v>
      </c>
      <c r="C6" s="144" t="s">
        <v>18</v>
      </c>
      <c r="D6" s="147" t="s">
        <v>19</v>
      </c>
      <c r="E6" s="147" t="s">
        <v>20</v>
      </c>
      <c r="F6" s="147" t="s">
        <v>21</v>
      </c>
      <c r="G6" s="150" t="s">
        <v>22</v>
      </c>
      <c r="H6" s="156" t="s">
        <v>23</v>
      </c>
      <c r="I6" s="159"/>
      <c r="J6" s="129"/>
      <c r="K6" s="130"/>
      <c r="L6" s="130"/>
      <c r="M6" s="131"/>
    </row>
    <row r="7" spans="1:13" ht="25.5" customHeight="1" x14ac:dyDescent="0.25">
      <c r="A7" s="139"/>
      <c r="B7" s="142"/>
      <c r="C7" s="145"/>
      <c r="D7" s="148"/>
      <c r="E7" s="148"/>
      <c r="F7" s="148"/>
      <c r="G7" s="151"/>
      <c r="H7" s="157"/>
      <c r="I7" s="127"/>
      <c r="J7" s="132"/>
      <c r="K7" s="133"/>
      <c r="L7" s="133"/>
      <c r="M7" s="134"/>
    </row>
    <row r="8" spans="1:13" ht="25.5" customHeight="1" x14ac:dyDescent="0.25">
      <c r="A8" s="139"/>
      <c r="B8" s="142"/>
      <c r="C8" s="145"/>
      <c r="D8" s="148"/>
      <c r="E8" s="148"/>
      <c r="F8" s="148"/>
      <c r="G8" s="151"/>
      <c r="H8" s="157"/>
      <c r="I8" s="127"/>
      <c r="J8" s="132"/>
      <c r="K8" s="133"/>
      <c r="L8" s="133"/>
      <c r="M8" s="134"/>
    </row>
    <row r="9" spans="1:13" ht="23.25" customHeight="1" thickBot="1" x14ac:dyDescent="0.3">
      <c r="A9" s="140"/>
      <c r="B9" s="143"/>
      <c r="C9" s="146"/>
      <c r="D9" s="149"/>
      <c r="E9" s="149"/>
      <c r="F9" s="149"/>
      <c r="G9" s="152"/>
      <c r="H9" s="158"/>
      <c r="I9" s="128"/>
      <c r="J9" s="132"/>
      <c r="K9" s="133"/>
      <c r="L9" s="133"/>
      <c r="M9" s="134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53"/>
      <c r="K10" s="154"/>
      <c r="L10" s="154"/>
      <c r="M10" s="155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29"/>
      <c r="K11" s="130"/>
      <c r="L11" s="130"/>
      <c r="M11" s="131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53"/>
      <c r="K12" s="154"/>
      <c r="L12" s="154"/>
      <c r="M12" s="155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53"/>
      <c r="K13" s="154"/>
      <c r="L13" s="154"/>
      <c r="M13" s="155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53"/>
      <c r="K14" s="154"/>
      <c r="L14" s="154"/>
      <c r="M14" s="155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60" t="s">
        <v>59</v>
      </c>
      <c r="B1" s="162" t="s">
        <v>60</v>
      </c>
      <c r="C1" s="164" t="s">
        <v>2</v>
      </c>
      <c r="D1" s="166" t="s">
        <v>61</v>
      </c>
      <c r="E1" s="166"/>
      <c r="F1" s="166"/>
      <c r="G1" s="166"/>
      <c r="H1" s="166"/>
      <c r="I1" s="166"/>
    </row>
    <row r="2" spans="1:9" s="27" customFormat="1" ht="18.75" x14ac:dyDescent="0.3">
      <c r="A2" s="161"/>
      <c r="B2" s="163"/>
      <c r="C2" s="165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67">
        <v>1</v>
      </c>
      <c r="B3" s="170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73">
        <v>5</v>
      </c>
    </row>
    <row r="4" spans="1:9" ht="36" customHeight="1" x14ac:dyDescent="0.25">
      <c r="A4" s="168"/>
      <c r="B4" s="171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73"/>
    </row>
    <row r="5" spans="1:9" ht="71.25" customHeight="1" x14ac:dyDescent="0.25">
      <c r="A5" s="168"/>
      <c r="B5" s="171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69"/>
      <c r="B6" s="172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74">
        <v>2</v>
      </c>
      <c r="B7" s="177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73">
        <v>5</v>
      </c>
    </row>
    <row r="8" spans="1:9" ht="60" x14ac:dyDescent="0.25">
      <c r="A8" s="175">
        <v>2</v>
      </c>
      <c r="B8" s="171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73"/>
    </row>
    <row r="9" spans="1:9" ht="30" x14ac:dyDescent="0.25">
      <c r="A9" s="175"/>
      <c r="B9" s="171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75"/>
      <c r="B10" s="171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76"/>
      <c r="B11" s="172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78">
        <v>3</v>
      </c>
      <c r="B12" s="177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82">
        <v>5</v>
      </c>
    </row>
    <row r="13" spans="1:9" ht="45" x14ac:dyDescent="0.25">
      <c r="A13" s="179"/>
      <c r="B13" s="171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83"/>
    </row>
    <row r="14" spans="1:9" ht="63" customHeight="1" x14ac:dyDescent="0.25">
      <c r="A14" s="179"/>
      <c r="B14" s="171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79"/>
      <c r="B15" s="171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80"/>
      <c r="B16" s="181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87">
        <v>4</v>
      </c>
      <c r="B17" s="189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87"/>
      <c r="B18" s="189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87"/>
      <c r="B19" s="189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87"/>
      <c r="B20" s="189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91">
        <v>5</v>
      </c>
      <c r="B21" s="192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91"/>
      <c r="B22" s="192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91"/>
      <c r="B23" s="192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91"/>
      <c r="B24" s="192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91"/>
      <c r="B25" s="192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93">
        <v>6</v>
      </c>
      <c r="B26" s="192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84">
        <v>5</v>
      </c>
    </row>
    <row r="27" spans="1:9" ht="75" x14ac:dyDescent="0.25">
      <c r="A27" s="193"/>
      <c r="B27" s="192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85"/>
    </row>
    <row r="28" spans="1:9" ht="60" x14ac:dyDescent="0.25">
      <c r="A28" s="193"/>
      <c r="B28" s="192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85"/>
    </row>
    <row r="29" spans="1:9" ht="45" x14ac:dyDescent="0.25">
      <c r="A29" s="193"/>
      <c r="B29" s="192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86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87">
        <v>7</v>
      </c>
      <c r="B31" s="189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87"/>
      <c r="B32" s="189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87"/>
      <c r="B33" s="189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88"/>
      <c r="B34" s="190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9"/>
  <sheetViews>
    <sheetView tabSelected="1" zoomScale="85" zoomScaleNormal="85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M27" sqref="M27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  <col min="10" max="10" width="9.140625" customWidth="1"/>
    <col min="11" max="11" width="15.5703125" style="27" bestFit="1" customWidth="1"/>
  </cols>
  <sheetData>
    <row r="1" spans="1:11" ht="35.25" customHeight="1" x14ac:dyDescent="0.25">
      <c r="A1" s="206" t="s">
        <v>59</v>
      </c>
      <c r="B1" s="163" t="s">
        <v>60</v>
      </c>
      <c r="C1" s="165" t="s">
        <v>2</v>
      </c>
      <c r="D1" s="204" t="s">
        <v>61</v>
      </c>
      <c r="E1" s="205"/>
      <c r="F1" s="205"/>
      <c r="G1" s="205"/>
      <c r="H1" s="205"/>
      <c r="I1" s="205"/>
      <c r="J1" s="205"/>
      <c r="K1" s="205"/>
    </row>
    <row r="2" spans="1:11" s="27" customFormat="1" ht="36.75" customHeight="1" thickBot="1" x14ac:dyDescent="0.35">
      <c r="A2" s="206"/>
      <c r="B2" s="207"/>
      <c r="C2" s="208"/>
      <c r="D2" s="79" t="s">
        <v>62</v>
      </c>
      <c r="E2" s="79" t="s">
        <v>63</v>
      </c>
      <c r="F2" s="79" t="s">
        <v>64</v>
      </c>
      <c r="G2" s="79" t="s">
        <v>65</v>
      </c>
      <c r="H2" s="79" t="s">
        <v>66</v>
      </c>
      <c r="I2" s="80" t="s">
        <v>67</v>
      </c>
      <c r="J2" s="80" t="s">
        <v>67</v>
      </c>
      <c r="K2" s="80" t="s">
        <v>302</v>
      </c>
    </row>
    <row r="3" spans="1:11" ht="57" customHeight="1" x14ac:dyDescent="0.25">
      <c r="A3" s="202">
        <v>1</v>
      </c>
      <c r="B3" s="212" t="s">
        <v>10</v>
      </c>
      <c r="C3" s="34" t="s">
        <v>68</v>
      </c>
      <c r="D3" s="81" t="s">
        <v>295</v>
      </c>
      <c r="E3" s="81" t="s">
        <v>70</v>
      </c>
      <c r="F3" s="81" t="s">
        <v>71</v>
      </c>
      <c r="G3" s="82" t="s">
        <v>296</v>
      </c>
      <c r="H3" s="82" t="s">
        <v>290</v>
      </c>
      <c r="I3" s="203">
        <v>10</v>
      </c>
      <c r="J3" s="203">
        <v>15</v>
      </c>
      <c r="K3" s="72">
        <v>6</v>
      </c>
    </row>
    <row r="4" spans="1:11" ht="94.5" customHeight="1" x14ac:dyDescent="0.25">
      <c r="A4" s="202"/>
      <c r="B4" s="213"/>
      <c r="C4" s="28" t="s">
        <v>74</v>
      </c>
      <c r="D4" s="78" t="s">
        <v>294</v>
      </c>
      <c r="E4" s="78" t="s">
        <v>291</v>
      </c>
      <c r="F4" s="78" t="s">
        <v>292</v>
      </c>
      <c r="G4" s="78" t="s">
        <v>293</v>
      </c>
      <c r="H4" s="78" t="s">
        <v>79</v>
      </c>
      <c r="I4" s="173"/>
      <c r="J4" s="173"/>
      <c r="K4" s="73"/>
    </row>
    <row r="5" spans="1:11" ht="94.5" customHeight="1" thickBot="1" x14ac:dyDescent="0.3">
      <c r="A5" s="202"/>
      <c r="B5" s="214"/>
      <c r="C5" s="57" t="s">
        <v>301</v>
      </c>
      <c r="D5" s="83" t="s">
        <v>247</v>
      </c>
      <c r="E5" s="219" t="s">
        <v>248</v>
      </c>
      <c r="F5" s="84" t="s">
        <v>249</v>
      </c>
      <c r="G5" s="84" t="s">
        <v>250</v>
      </c>
      <c r="H5" s="84" t="s">
        <v>251</v>
      </c>
      <c r="I5" s="85">
        <v>5</v>
      </c>
      <c r="J5" s="215"/>
      <c r="K5" s="74">
        <v>1</v>
      </c>
    </row>
    <row r="6" spans="1:11" ht="30" x14ac:dyDescent="0.25">
      <c r="A6" s="202">
        <v>2</v>
      </c>
      <c r="B6" s="195" t="s">
        <v>17</v>
      </c>
      <c r="C6" s="34" t="s">
        <v>261</v>
      </c>
      <c r="D6" s="81" t="s">
        <v>86</v>
      </c>
      <c r="E6" s="81" t="s">
        <v>87</v>
      </c>
      <c r="F6" s="81" t="s">
        <v>88</v>
      </c>
      <c r="G6" s="81" t="s">
        <v>89</v>
      </c>
      <c r="H6" s="81" t="s">
        <v>90</v>
      </c>
      <c r="I6" s="203">
        <v>5</v>
      </c>
      <c r="J6" s="216">
        <v>20</v>
      </c>
      <c r="K6" s="72">
        <v>4</v>
      </c>
    </row>
    <row r="7" spans="1:11" ht="60" x14ac:dyDescent="0.25">
      <c r="A7" s="202">
        <v>2</v>
      </c>
      <c r="B7" s="196"/>
      <c r="C7" s="29" t="s">
        <v>262</v>
      </c>
      <c r="D7" s="77" t="s">
        <v>92</v>
      </c>
      <c r="E7" s="77" t="s">
        <v>93</v>
      </c>
      <c r="F7" s="77" t="s">
        <v>94</v>
      </c>
      <c r="G7" s="31" t="s">
        <v>95</v>
      </c>
      <c r="H7" s="31" t="s">
        <v>266</v>
      </c>
      <c r="I7" s="173"/>
      <c r="J7" s="217"/>
      <c r="K7" s="73">
        <v>0</v>
      </c>
    </row>
    <row r="8" spans="1:11" ht="30" x14ac:dyDescent="0.25">
      <c r="A8" s="202"/>
      <c r="B8" s="196"/>
      <c r="C8" s="68" t="s">
        <v>264</v>
      </c>
      <c r="D8" s="77" t="s">
        <v>98</v>
      </c>
      <c r="E8" s="77" t="s">
        <v>99</v>
      </c>
      <c r="F8" s="77" t="s">
        <v>100</v>
      </c>
      <c r="G8" s="77" t="s">
        <v>101</v>
      </c>
      <c r="H8" s="77" t="s">
        <v>102</v>
      </c>
      <c r="I8" s="75">
        <v>5</v>
      </c>
      <c r="J8" s="217"/>
      <c r="K8" s="73">
        <v>5</v>
      </c>
    </row>
    <row r="9" spans="1:11" ht="60" x14ac:dyDescent="0.25">
      <c r="A9" s="202"/>
      <c r="B9" s="196"/>
      <c r="C9" s="29" t="s">
        <v>263</v>
      </c>
      <c r="D9" s="77" t="s">
        <v>104</v>
      </c>
      <c r="E9" s="77" t="s">
        <v>105</v>
      </c>
      <c r="F9" s="77" t="s">
        <v>106</v>
      </c>
      <c r="G9" s="77" t="s">
        <v>107</v>
      </c>
      <c r="H9" s="220" t="s">
        <v>108</v>
      </c>
      <c r="I9" s="75">
        <v>5</v>
      </c>
      <c r="J9" s="217"/>
      <c r="K9" s="73">
        <v>4</v>
      </c>
    </row>
    <row r="10" spans="1:11" ht="45.75" thickBot="1" x14ac:dyDescent="0.3">
      <c r="A10" s="202"/>
      <c r="B10" s="197"/>
      <c r="C10" s="86" t="s">
        <v>265</v>
      </c>
      <c r="D10" s="83" t="s">
        <v>110</v>
      </c>
      <c r="E10" s="219" t="s">
        <v>111</v>
      </c>
      <c r="F10" s="39" t="s">
        <v>112</v>
      </c>
      <c r="G10" s="39" t="s">
        <v>113</v>
      </c>
      <c r="H10" s="39" t="s">
        <v>114</v>
      </c>
      <c r="I10" s="87">
        <v>5</v>
      </c>
      <c r="J10" s="218"/>
      <c r="K10" s="74">
        <v>1</v>
      </c>
    </row>
    <row r="11" spans="1:11" ht="83.25" customHeight="1" x14ac:dyDescent="0.25">
      <c r="A11" s="194">
        <v>3</v>
      </c>
      <c r="B11" s="195" t="s">
        <v>24</v>
      </c>
      <c r="C11" s="88" t="s">
        <v>115</v>
      </c>
      <c r="D11" s="81" t="s">
        <v>116</v>
      </c>
      <c r="E11" s="81" t="s">
        <v>117</v>
      </c>
      <c r="F11" s="81" t="s">
        <v>118</v>
      </c>
      <c r="G11" s="221" t="s">
        <v>119</v>
      </c>
      <c r="H11" s="221" t="s">
        <v>120</v>
      </c>
      <c r="I11" s="203">
        <v>5</v>
      </c>
      <c r="J11" s="216">
        <v>15</v>
      </c>
      <c r="K11" s="72">
        <v>3</v>
      </c>
    </row>
    <row r="12" spans="1:11" ht="45" x14ac:dyDescent="0.25">
      <c r="A12" s="194"/>
      <c r="B12" s="196"/>
      <c r="C12" s="68" t="s">
        <v>121</v>
      </c>
      <c r="D12" s="77" t="s">
        <v>122</v>
      </c>
      <c r="E12" s="77" t="s">
        <v>123</v>
      </c>
      <c r="F12" s="77" t="s">
        <v>124</v>
      </c>
      <c r="G12" s="220" t="s">
        <v>125</v>
      </c>
      <c r="H12" s="220" t="s">
        <v>126</v>
      </c>
      <c r="I12" s="173"/>
      <c r="J12" s="217"/>
      <c r="K12" s="73"/>
    </row>
    <row r="13" spans="1:11" ht="75" x14ac:dyDescent="0.25">
      <c r="A13" s="194"/>
      <c r="B13" s="196"/>
      <c r="C13" s="68" t="s">
        <v>133</v>
      </c>
      <c r="D13" s="77" t="s">
        <v>134</v>
      </c>
      <c r="E13" s="77" t="s">
        <v>254</v>
      </c>
      <c r="F13" s="220" t="s">
        <v>255</v>
      </c>
      <c r="G13" s="29" t="s">
        <v>256</v>
      </c>
      <c r="H13" s="29" t="s">
        <v>257</v>
      </c>
      <c r="I13" s="75">
        <v>5</v>
      </c>
      <c r="J13" s="217"/>
      <c r="K13" s="73">
        <v>2</v>
      </c>
    </row>
    <row r="14" spans="1:11" ht="90.75" thickBot="1" x14ac:dyDescent="0.3">
      <c r="A14" s="194"/>
      <c r="B14" s="197"/>
      <c r="C14" s="57" t="s">
        <v>139</v>
      </c>
      <c r="D14" s="83" t="s">
        <v>134</v>
      </c>
      <c r="E14" s="83" t="s">
        <v>135</v>
      </c>
      <c r="F14" s="39" t="s">
        <v>136</v>
      </c>
      <c r="G14" s="39" t="s">
        <v>137</v>
      </c>
      <c r="H14" s="39" t="s">
        <v>138</v>
      </c>
      <c r="I14" s="87">
        <v>5</v>
      </c>
      <c r="J14" s="218"/>
      <c r="K14" s="74">
        <v>2</v>
      </c>
    </row>
    <row r="15" spans="1:11" ht="72" customHeight="1" x14ac:dyDescent="0.25">
      <c r="A15" s="194">
        <v>4</v>
      </c>
      <c r="B15" s="195" t="s">
        <v>31</v>
      </c>
      <c r="C15" s="34" t="s">
        <v>140</v>
      </c>
      <c r="D15" s="89" t="s">
        <v>141</v>
      </c>
      <c r="E15" s="89" t="s">
        <v>142</v>
      </c>
      <c r="F15" s="89" t="s">
        <v>143</v>
      </c>
      <c r="G15" s="89" t="s">
        <v>144</v>
      </c>
      <c r="H15" s="89" t="s">
        <v>145</v>
      </c>
      <c r="I15" s="90">
        <v>5</v>
      </c>
      <c r="J15" s="216">
        <v>20</v>
      </c>
      <c r="K15" s="72">
        <v>5</v>
      </c>
    </row>
    <row r="16" spans="1:11" ht="45" x14ac:dyDescent="0.25">
      <c r="A16" s="194"/>
      <c r="B16" s="196"/>
      <c r="C16" s="28" t="s">
        <v>146</v>
      </c>
      <c r="D16" s="77" t="s">
        <v>147</v>
      </c>
      <c r="E16" s="77" t="s">
        <v>148</v>
      </c>
      <c r="F16" s="77" t="s">
        <v>149</v>
      </c>
      <c r="G16" s="77" t="s">
        <v>150</v>
      </c>
      <c r="H16" s="29" t="s">
        <v>151</v>
      </c>
      <c r="I16" s="75">
        <v>5</v>
      </c>
      <c r="J16" s="217"/>
      <c r="K16" s="73">
        <v>4</v>
      </c>
    </row>
    <row r="17" spans="1:11" ht="60" x14ac:dyDescent="0.25">
      <c r="A17" s="194"/>
      <c r="B17" s="196"/>
      <c r="C17" s="28" t="s">
        <v>152</v>
      </c>
      <c r="D17" s="77" t="s">
        <v>153</v>
      </c>
      <c r="E17" s="77" t="s">
        <v>154</v>
      </c>
      <c r="F17" s="77" t="s">
        <v>155</v>
      </c>
      <c r="G17" s="77" t="s">
        <v>156</v>
      </c>
      <c r="H17" s="77" t="s">
        <v>157</v>
      </c>
      <c r="I17" s="75">
        <v>5</v>
      </c>
      <c r="J17" s="217"/>
      <c r="K17" s="73">
        <v>5</v>
      </c>
    </row>
    <row r="18" spans="1:11" ht="90.75" thickBot="1" x14ac:dyDescent="0.3">
      <c r="A18" s="194"/>
      <c r="B18" s="197"/>
      <c r="C18" s="57" t="s">
        <v>284</v>
      </c>
      <c r="D18" s="83" t="s">
        <v>159</v>
      </c>
      <c r="E18" s="83" t="s">
        <v>285</v>
      </c>
      <c r="F18" s="83" t="s">
        <v>286</v>
      </c>
      <c r="G18" s="83" t="s">
        <v>288</v>
      </c>
      <c r="H18" s="83" t="s">
        <v>289</v>
      </c>
      <c r="I18" s="87">
        <v>5</v>
      </c>
      <c r="J18" s="218"/>
      <c r="K18" s="74">
        <v>5</v>
      </c>
    </row>
    <row r="19" spans="1:11" ht="90" x14ac:dyDescent="0.25">
      <c r="A19" s="198">
        <v>5</v>
      </c>
      <c r="B19" s="199" t="s">
        <v>164</v>
      </c>
      <c r="C19" s="34" t="s">
        <v>165</v>
      </c>
      <c r="D19" s="81" t="s">
        <v>166</v>
      </c>
      <c r="E19" s="81" t="s">
        <v>167</v>
      </c>
      <c r="F19" s="81" t="s">
        <v>168</v>
      </c>
      <c r="G19" s="35" t="s">
        <v>287</v>
      </c>
      <c r="H19" s="35" t="s">
        <v>170</v>
      </c>
      <c r="I19" s="91">
        <v>5</v>
      </c>
      <c r="J19" s="216">
        <v>25</v>
      </c>
      <c r="K19" s="72">
        <v>3</v>
      </c>
    </row>
    <row r="20" spans="1:11" ht="90" x14ac:dyDescent="0.25">
      <c r="A20" s="198"/>
      <c r="B20" s="200"/>
      <c r="C20" s="28" t="s">
        <v>171</v>
      </c>
      <c r="D20" s="77" t="s">
        <v>279</v>
      </c>
      <c r="E20" s="77" t="s">
        <v>281</v>
      </c>
      <c r="F20" s="77" t="s">
        <v>280</v>
      </c>
      <c r="G20" s="220" t="s">
        <v>282</v>
      </c>
      <c r="H20" s="220" t="s">
        <v>283</v>
      </c>
      <c r="I20" s="47">
        <v>5</v>
      </c>
      <c r="J20" s="217"/>
      <c r="K20" s="73">
        <v>3</v>
      </c>
    </row>
    <row r="21" spans="1:11" ht="56.25" customHeight="1" x14ac:dyDescent="0.25">
      <c r="A21" s="198"/>
      <c r="B21" s="200"/>
      <c r="C21" s="28" t="s">
        <v>177</v>
      </c>
      <c r="D21" s="77" t="s">
        <v>178</v>
      </c>
      <c r="E21" s="77" t="s">
        <v>179</v>
      </c>
      <c r="F21" s="77" t="s">
        <v>278</v>
      </c>
      <c r="G21" s="77" t="s">
        <v>276</v>
      </c>
      <c r="H21" s="220" t="s">
        <v>277</v>
      </c>
      <c r="I21" s="47">
        <v>5</v>
      </c>
      <c r="J21" s="217"/>
      <c r="K21" s="73">
        <v>4</v>
      </c>
    </row>
    <row r="22" spans="1:11" ht="90" x14ac:dyDescent="0.25">
      <c r="A22" s="198"/>
      <c r="B22" s="200"/>
      <c r="C22" s="69" t="s">
        <v>183</v>
      </c>
      <c r="D22" s="77" t="s">
        <v>184</v>
      </c>
      <c r="E22" s="77" t="s">
        <v>185</v>
      </c>
      <c r="F22" s="220" t="s">
        <v>186</v>
      </c>
      <c r="G22" s="31" t="s">
        <v>259</v>
      </c>
      <c r="H22" s="31" t="s">
        <v>260</v>
      </c>
      <c r="I22" s="47">
        <v>5</v>
      </c>
      <c r="J22" s="217"/>
      <c r="K22" s="73">
        <v>2</v>
      </c>
    </row>
    <row r="23" spans="1:11" ht="75.75" thickBot="1" x14ac:dyDescent="0.3">
      <c r="A23" s="198"/>
      <c r="B23" s="201"/>
      <c r="C23" s="92" t="s">
        <v>275</v>
      </c>
      <c r="D23" s="83" t="s">
        <v>184</v>
      </c>
      <c r="E23" s="83" t="s">
        <v>190</v>
      </c>
      <c r="F23" s="219" t="s">
        <v>191</v>
      </c>
      <c r="G23" s="219" t="s">
        <v>192</v>
      </c>
      <c r="H23" s="84" t="s">
        <v>258</v>
      </c>
      <c r="I23" s="85">
        <v>5</v>
      </c>
      <c r="J23" s="218"/>
      <c r="K23" s="74">
        <v>2</v>
      </c>
    </row>
    <row r="24" spans="1:11" ht="66.75" customHeight="1" thickBot="1" x14ac:dyDescent="0.3">
      <c r="A24" s="93">
        <v>6</v>
      </c>
      <c r="B24" s="94" t="s">
        <v>246</v>
      </c>
      <c r="C24" s="95" t="s">
        <v>300</v>
      </c>
      <c r="D24" s="96" t="s">
        <v>299</v>
      </c>
      <c r="E24" s="96" t="s">
        <v>252</v>
      </c>
      <c r="F24" s="96" t="s">
        <v>253</v>
      </c>
      <c r="G24" s="96" t="s">
        <v>297</v>
      </c>
      <c r="H24" s="96" t="s">
        <v>298</v>
      </c>
      <c r="I24" s="97">
        <v>5</v>
      </c>
      <c r="J24" s="98">
        <v>5</v>
      </c>
      <c r="K24" s="71">
        <v>0</v>
      </c>
    </row>
    <row r="25" spans="1:11" ht="90.75" customHeight="1" x14ac:dyDescent="0.25">
      <c r="A25" s="194">
        <v>7</v>
      </c>
      <c r="B25" s="195" t="s">
        <v>52</v>
      </c>
      <c r="C25" s="34" t="s">
        <v>217</v>
      </c>
      <c r="D25" s="81" t="s">
        <v>274</v>
      </c>
      <c r="E25" s="81" t="s">
        <v>231</v>
      </c>
      <c r="F25" s="81" t="s">
        <v>232</v>
      </c>
      <c r="G25" s="82" t="s">
        <v>233</v>
      </c>
      <c r="H25" s="82" t="s">
        <v>234</v>
      </c>
      <c r="I25" s="90">
        <v>5</v>
      </c>
      <c r="J25" s="209">
        <v>20</v>
      </c>
      <c r="K25" s="72">
        <v>3</v>
      </c>
    </row>
    <row r="26" spans="1:11" ht="104.25" customHeight="1" x14ac:dyDescent="0.25">
      <c r="A26" s="194"/>
      <c r="B26" s="196"/>
      <c r="C26" s="28" t="s">
        <v>218</v>
      </c>
      <c r="D26" s="77" t="s">
        <v>235</v>
      </c>
      <c r="E26" s="77" t="s">
        <v>236</v>
      </c>
      <c r="F26" s="77" t="s">
        <v>237</v>
      </c>
      <c r="G26" s="220" t="s">
        <v>238</v>
      </c>
      <c r="H26" s="220" t="s">
        <v>239</v>
      </c>
      <c r="I26" s="75">
        <v>5</v>
      </c>
      <c r="J26" s="210"/>
      <c r="K26" s="73">
        <v>3</v>
      </c>
    </row>
    <row r="27" spans="1:11" ht="75" x14ac:dyDescent="0.25">
      <c r="A27" s="194"/>
      <c r="B27" s="196"/>
      <c r="C27" s="28" t="s">
        <v>267</v>
      </c>
      <c r="D27" s="77" t="s">
        <v>268</v>
      </c>
      <c r="E27" s="77" t="s">
        <v>269</v>
      </c>
      <c r="F27" s="77" t="s">
        <v>271</v>
      </c>
      <c r="G27" s="29" t="s">
        <v>272</v>
      </c>
      <c r="H27" s="29" t="s">
        <v>273</v>
      </c>
      <c r="I27" s="75">
        <v>5</v>
      </c>
      <c r="J27" s="210"/>
      <c r="K27" s="73">
        <v>3</v>
      </c>
    </row>
    <row r="28" spans="1:11" ht="96.75" customHeight="1" thickBot="1" x14ac:dyDescent="0.3">
      <c r="A28" s="194"/>
      <c r="B28" s="197"/>
      <c r="C28" s="57" t="s">
        <v>220</v>
      </c>
      <c r="D28" s="83" t="s">
        <v>221</v>
      </c>
      <c r="E28" s="83" t="s">
        <v>222</v>
      </c>
      <c r="F28" s="83" t="s">
        <v>223</v>
      </c>
      <c r="G28" s="39" t="s">
        <v>270</v>
      </c>
      <c r="H28" s="39" t="s">
        <v>225</v>
      </c>
      <c r="I28" s="87">
        <v>5</v>
      </c>
      <c r="J28" s="211"/>
      <c r="K28" s="74">
        <v>3</v>
      </c>
    </row>
    <row r="29" spans="1:11" ht="15.75" thickBot="1" x14ac:dyDescent="0.3">
      <c r="A29" s="70"/>
      <c r="B29" s="99"/>
      <c r="C29" s="100"/>
      <c r="D29" s="101"/>
      <c r="E29" s="101"/>
      <c r="F29" s="101"/>
      <c r="G29" s="101"/>
      <c r="H29" s="101"/>
      <c r="I29" s="76">
        <f>SUM(I3:I28)</f>
        <v>120</v>
      </c>
      <c r="J29" s="102">
        <f>SUM(J3:J28)</f>
        <v>120</v>
      </c>
      <c r="K29" s="103">
        <f>AVERAGE(K3:K28)</f>
        <v>3.0416666666666665</v>
      </c>
    </row>
  </sheetData>
  <mergeCells count="25">
    <mergeCell ref="J25:J28"/>
    <mergeCell ref="B3:B5"/>
    <mergeCell ref="J3:J5"/>
    <mergeCell ref="J6:J10"/>
    <mergeCell ref="J11:J14"/>
    <mergeCell ref="J15:J18"/>
    <mergeCell ref="J19:J23"/>
    <mergeCell ref="D1:K1"/>
    <mergeCell ref="A1:A2"/>
    <mergeCell ref="B1:B2"/>
    <mergeCell ref="C1:C2"/>
    <mergeCell ref="I3:I4"/>
    <mergeCell ref="A3:A5"/>
    <mergeCell ref="A6:A10"/>
    <mergeCell ref="B6:B10"/>
    <mergeCell ref="I6:I7"/>
    <mergeCell ref="A11:A14"/>
    <mergeCell ref="B11:B14"/>
    <mergeCell ref="I11:I12"/>
    <mergeCell ref="A25:A28"/>
    <mergeCell ref="B25:B28"/>
    <mergeCell ref="A15:A18"/>
    <mergeCell ref="B15:B18"/>
    <mergeCell ref="A19:A23"/>
    <mergeCell ref="B19:B23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dcterms:created xsi:type="dcterms:W3CDTF">2025-10-25T09:43:11Z</dcterms:created>
  <dcterms:modified xsi:type="dcterms:W3CDTF">2026-01-05T04:53:27Z</dcterms:modified>
</cp:coreProperties>
</file>