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QMML reports phase 2\"/>
    </mc:Choice>
  </mc:AlternateContent>
  <bookViews>
    <workbookView xWindow="0" yWindow="0" windowWidth="28800" windowHeight="1170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sheet'!$A$4:$J$31</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sheet'!$4:$5</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3" i="3" l="1"/>
  <c r="N34" i="3"/>
  <c r="K32" i="3" l="1"/>
  <c r="J32" i="3" l="1"/>
  <c r="I32"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<sst xmlns="http://schemas.openxmlformats.org/spreadsheetml/2006/main" count="461" uniqueCount="364">
  <si>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</si>
  <si>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</si>
  <si>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</si>
  <si>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</si>
  <si>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</si>
  <si>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</si>
  <si>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</si>
  <si>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</si>
  <si>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</si>
  <si>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</si>
  <si>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</si>
  <si>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</si>
  <si>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</si>
  <si>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</si>
  <si>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</si>
  <si>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</si>
  <si>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</si>
  <si>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</si>
  <si>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</si>
  <si>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</si>
  <si>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</si>
  <si>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</si>
  <si>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</si>
  <si>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</si>
  <si>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</si>
  <si>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</si>
  <si>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</si>
  <si>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</si>
  <si>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</si>
  <si>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</si>
  <si>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</si>
  <si>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</si>
  <si>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</si>
  <si>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</si>
  <si>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</si>
  <si>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</si>
  <si>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</si>
  <si>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</si>
  <si>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</si>
  <si>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</si>
  <si>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</si>
  <si>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</si>
  <si>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</si>
  <si>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</si>
  <si>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</si>
  <si>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</si>
  <si>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</si>
  <si>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</si>
  <si>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</si>
  <si>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</si>
  <si>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</si>
  <si>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</si>
  <si>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</si>
  <si>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</si>
  <si>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</si>
  <si>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</si>
  <si>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</si>
  <si>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</si>
  <si>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</si>
  <si>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</si>
  <si>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</si>
  <si>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</si>
  <si>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</si>
  <si>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</si>
  <si>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</si>
  <si>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</si>
  <si>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</si>
  <si>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</si>
  <si>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</si>
  <si>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</si>
  <si>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</si>
  <si>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</si>
  <si>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</si>
  <si>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</si>
  <si>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</si>
  <si>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</si>
  <si>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</si>
  <si>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</si>
  <si>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</si>
  <si>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</si>
  <si>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</si>
  <si>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</si>
  <si>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</si>
  <si>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</si>
  <si>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</si>
  <si>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</si>
  <si>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</si>
  <si>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</si>
  <si>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</si>
  <si>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</si>
  <si>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</si>
  <si>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</si>
  <si>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</si>
  <si>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</si>
  <si>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</si>
  <si>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</si>
  <si>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</si>
  <si>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</si>
  <si>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</si>
  <si>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</si>
  <si>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</si>
  <si>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</si>
  <si>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</si>
  <si>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</si>
  <si>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</si>
  <si>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</si>
  <si>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</si>
  <si>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</si>
  <si>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</si>
  <si>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</si>
  <si>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</si>
  <si>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</si>
  <si>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</si>
  <si>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</si>
  <si>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</si>
  <si>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</si>
  <si>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</si>
  <si>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</si>
  <si>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</si>
  <si>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</si>
  <si>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</si>
  <si>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</si>
  <si>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</si>
  <si>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</si>
  <si>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</si>
  <si>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</si>
  <si>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</si>
  <si>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</si>
  <si>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</si>
  <si>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</si>
  <si>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</si>
  <si>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</si>
  <si>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</si>
  <si>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</si>
  <si>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</si>
  <si>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</si>
  <si>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</si>
  <si>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</si>
  <si>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</si>
  <si>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</si>
  <si>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</si>
  <si>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</si>
  <si>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</si>
  <si>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</si>
  <si>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</si>
  <si>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</si>
  <si>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</si>
  <si>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</si>
  <si>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</si>
  <si>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</si>
  <si>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</si>
  <si>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</si>
  <si>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</si>
  <si>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</si>
  <si>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</si>
  <si>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</si>
  <si>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</si>
  <si>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</si>
  <si>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</si>
  <si>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</si>
  <si>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</si>
  <si>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</si>
  <si>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</si>
  <si>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</si>
  <si>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</si>
  <si>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</si>
  <si>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</si>
  <si>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</si>
  <si>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</si>
  <si>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</si>
  <si>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</si>
  <si>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</si>
  <si>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</si>
  <si>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</si>
  <si>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</si>
  <si>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</si>
  <si>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</si>
  <si>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</si>
  <si>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</si>
  <si>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</si>
  <si>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</si>
  <si>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</si>
  <si>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</si>
  <si>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</si>
  <si>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</si>
  <si>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</si>
  <si>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</si>
  <si>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</si>
  <si>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</si>
  <si>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</si>
  <si>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</si>
  <si>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</si>
  <si>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</si>
  <si>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</si>
  <si>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</si>
  <si>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</si>
  <si>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</si>
  <si>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</si>
  <si>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</si>
  <si>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</si>
  <si>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</si>
  <si>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</si>
  <si>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</si>
  <si>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</si>
  <si>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</si>
  <si>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</si>
  <si>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</si>
  <si>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</si>
  <si>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</si>
  <si>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</si>
  <si>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</si>
  <si>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</si>
  <si>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</si>
  <si>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</si>
  <si>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</si>
  <si>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</si>
  <si>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</si>
  <si>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</si>
  <si>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</si>
  <si>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</si>
  <si>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</si>
  <si>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</si>
  <si>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</si>
  <si>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</si>
  <si>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</si>
  <si>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</si>
  <si>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</si>
  <si>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</si>
  <si>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</si>
  <si>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</si>
  <si>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</si>
  <si>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</si>
  <si>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</si>
  <si>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</si>
  <si>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</si>
  <si>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</si>
  <si>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</si>
  <si>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</si>
  <si>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</si>
  <si>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</si>
  <si>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</si>
  <si>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</si>
  <si>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</si>
  <si>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</si>
  <si>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</si>
  <si>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</si>
  <si>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</si>
  <si>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</si>
  <si>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</si>
  <si>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</si>
  <si>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</si>
  <si>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</si>
  <si>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</si>
  <si>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</si>
  <si>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</si>
  <si>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</si>
  <si>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</si>
  <si>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</si>
  <si>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</si>
  <si>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</si>
  <si>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</si>
  <si>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</si>
  <si>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 xml:space="preserve"># Quantitative Analysis </t>
  </si>
  <si>
    <t>Internal Audit (IA) plan available but IA  not conducted as per the plan</t>
  </si>
  <si>
    <t xml:space="preserve"> IA plan available and conducted as per the plan</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</si>
  <si>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</si>
  <si>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</si>
  <si>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</si>
  <si>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</si>
  <si>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</si>
  <si>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</si>
  <si>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</si>
  <si>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</si>
  <si>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</si>
  <si>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</si>
  <si>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</si>
  <si>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</si>
  <si>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</si>
  <si>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</si>
  <si>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</si>
  <si>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</si>
  <si>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</si>
  <si>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Could not be completed De to Lack of Understanding</t>
  </si>
  <si>
    <t>Assessment Not taken up due to no Preparation</t>
  </si>
  <si>
    <t>General Observations</t>
  </si>
  <si>
    <t>1.Identification of all customers.
2. MoU available for critical customers
3. ICS Index available</t>
  </si>
  <si>
    <t>ICS-80% achieved</t>
  </si>
  <si>
    <t>All customers identified.
CSR Maintained for Critical top 2
Automative and 
Non Automotive Customers</t>
  </si>
  <si>
    <t># Department Business plan connected to OSM</t>
  </si>
  <si>
    <t>Operators understand the  Policy</t>
  </si>
  <si>
    <t>1. Organization Chart
Available
2. Position Wise Roles and Respnsibility available</t>
  </si>
  <si>
    <t>Roles and responsibility linked to QMS Policy+ Business plan+ KPI+ How are New Requirements being considered</t>
  </si>
  <si>
    <t>Skill Matrix available for Associates company along with Criteria</t>
  </si>
  <si>
    <t xml:space="preserve">
# Training (Issue Based )</t>
  </si>
  <si>
    <t>Evidence of business process interaction and  process map  defined. SIPOC</t>
  </si>
  <si>
    <t># Kaizen &amp; effectiveness
M-KPI, C-KPI  0.5%/year</t>
  </si>
  <si>
    <t># Project  &amp; effectiveness 
Objectives in OSM 0.5%/year</t>
  </si>
  <si>
    <t># Corrective action effectiveness 
KPI- Gap Analysis 0.5%/year</t>
  </si>
  <si>
    <t xml:space="preserve">
# QMS effectiveness 
DQC, Departmental TQM Council (DTC)  0.5%/year</t>
  </si>
  <si>
    <t>Quality Management System Maturity Level</t>
  </si>
  <si>
    <t>Auditee:</t>
  </si>
  <si>
    <t>MR-QMML-07</t>
  </si>
  <si>
    <t>Issue/Rev-1/8</t>
  </si>
  <si>
    <t>Section:</t>
  </si>
  <si>
    <t>Auditor:</t>
  </si>
  <si>
    <t>Rev Date: 04/02/2026</t>
  </si>
  <si>
    <t>DM Meetings, DQC conducted as per the frequency and Issues resolved</t>
  </si>
  <si>
    <t>evidences of DM Meetings, DQC conducted resulting in identification of  CFT Projects</t>
  </si>
  <si>
    <t>effective usage of DM Meetings, DQC  platform resulting in Continuous improvements</t>
  </si>
  <si>
    <t xml:space="preserve">L08  and above one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</si>
  <si>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</si>
  <si>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</si>
  <si>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</si>
  <si>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0.2 Project per person per year  completion , and aligned with M-KPI and C-KPI, Project supports to improve KPI </t>
  </si>
  <si>
    <t xml:space="preserve">L07 and Below 2 kaizens per person per year, , and aligned with M-KPI and C-KPI, Kaizen supports to improve KPI </t>
  </si>
  <si>
    <t xml:space="preserve">L07 and Below 1 kaizens per person per year, , and aligned with M-KPI and C-KPI, Kaizen supports to improve KPI </t>
  </si>
  <si>
    <t xml:space="preserve">L07 and Below 0.8 kaizens per person per year, , and aligned with M-KPI and C-KPI, Kaizen supports to improve KPI </t>
  </si>
  <si>
    <t xml:space="preserve">L07 and Below 0.6 kaizens per person per year, , and aligned with M-KPI and C-KPI, Kaizen supports to improve KPI </t>
  </si>
  <si>
    <t xml:space="preserve">L07 and Below 0.4 kaizens per person per year, , and aligned with M-KPI and C-KPI, Kaizen supports to improve KPI </t>
  </si>
  <si>
    <t>1. ICS -100% along with Appreciation letters
2. zero QFF in Last 3 months</t>
  </si>
  <si>
    <t xml:space="preserve">ICS-90% achieved
Zero QFFin last month </t>
  </si>
  <si>
    <t xml:space="preserve">ICS -100%  achieved
Zero QFFin 2 month </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</si>
  <si>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</si>
  <si>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</si>
  <si>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</si>
  <si>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</si>
  <si>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</si>
  <si>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</si>
  <si>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</si>
  <si>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</si>
  <si>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</si>
  <si>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</si>
  <si>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</si>
  <si>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Achieving 0 Injury, Zero Defect, Zero Waste and Zero Breakdown</t>
  </si>
  <si>
    <t>Adoption of 0757 at the shopfloor</t>
  </si>
  <si>
    <t>Achieving 0 Injury,</t>
  </si>
  <si>
    <t>Achieving 0 Injury, Zero Defect,</t>
  </si>
  <si>
    <t xml:space="preserve">Achieving 0 Injury, Zero Defect, Zero Waste </t>
  </si>
  <si>
    <t>Achieving 0 Injury, Zero Defect, Zero Waste and Zero Breakdown for 3 months</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</si>
  <si>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</si>
  <si>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</si>
  <si>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</si>
  <si>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</si>
  <si>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</si>
  <si>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</si>
  <si>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</si>
  <si>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</si>
  <si>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</si>
  <si>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</si>
  <si>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</si>
  <si>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xml:space="preserve">Supplier Score card procedure available with perfromance criteria, used best practices within India- For Contractor evaluation &gt;50% CSM rating. For supplier &gt;40% evaluation </t>
  </si>
  <si>
    <t>Supplier problem solving and Improvement through CAPA approach/ ESDR</t>
  </si>
  <si>
    <t>CA, AAF,RCFA available with planned and TQM Criteria used, and aligned with M-KPI and C-KPI</t>
  </si>
  <si>
    <t>Corrective action(CA) AAF, RCFA available with planned and TQM Criteria used</t>
  </si>
  <si>
    <t>Corrective action, Abnormality Analysis Form, RCFA,  available with own Criteria used</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</si>
  <si>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</si>
  <si>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</si>
  <si>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DQC, Departmental TQM Council (DTC) meetings conducted with plan, linked to KPI, TQM activity support to improve KPI</t>
  </si>
  <si>
    <t>DQC, Departmental TQM Council (DTC) meetings conducted with plan, linked to IMS KPI, TQM activity support to improve KPI</t>
  </si>
  <si>
    <r>
      <rPr>
        <b/>
        <sz val="24"/>
        <color theme="1"/>
        <rFont val="Calibri"/>
        <family val="2"/>
        <scheme val="minor"/>
      </rPr>
      <t>√</t>
    </r>
    <r>
      <rPr>
        <b/>
        <sz val="11"/>
        <color theme="1"/>
        <rFont val="Calibri"/>
        <family val="2"/>
        <scheme val="minor"/>
      </rPr>
      <t xml:space="preserve">                                Assessment Taken up      </t>
    </r>
  </si>
  <si>
    <t>Department: SMS3</t>
  </si>
  <si>
    <t>1. MOU seen.                                                                               2. Skill Matrix seen.                                                                                                                    3. Safety performance report (DIC) seen.                  4. KPIs seen.  Also observed Gap analysis.</t>
  </si>
  <si>
    <t>1. Although most of documents seen but not as per TQM format. Need to focus on using TQM formats for documents. example MSC chart, KPI gap analysis etc.                                                                                                                                                                                                                                2. Could not show some documents such as KPI drilldown, KPI tree etc.                                                                                                                           3. Did not see extensive usage of high end statistical or management tools.                                                                                                                         4. Should take up more kaizens and also it should be uploaded to portal. Also to start QC, and six sigma projects.                                               5. TQM Council recently formed. No meetings conducted.</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</si>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</sst>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18"/>
      <color theme="1"/>
      <name val="Calibri"/>
      <family val="2"/>
      <scheme val="minor"/>
    </font>
    <font>
      <b/>
      <sz val="24"/>
      <color theme="1"/>
      <name val="Calibri"/>
      <family val="2"/>
      <scheme val="minor"/>
    </font>
  </fonts>
  <fills count="7">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FFF00"/>
        <bgColor indexed="64"/>
      </patternFill>
    </fill>
  </fills>
  <borders count="70">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16">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4" fillId="0" borderId="43" xfId="0" applyFont="1" applyFill="1" applyBorder="1" applyAlignment="1">
      <alignment vertical="center" wrapText="1"/>
    </xf>
    <xf numFmtId="0" fontId="1" fillId="0" borderId="43" xfId="0" applyFont="1" applyBorder="1" applyAlignment="1">
      <alignment horizontal="center"/>
    </xf>
    <xf numFmtId="0" fontId="1" fillId="0" borderId="43" xfId="0" applyFont="1" applyBorder="1" applyAlignment="1">
      <alignment wrapText="1"/>
    </xf>
    <xf numFmtId="0" fontId="1" fillId="0" borderId="48" xfId="0" applyFont="1" applyBorder="1" applyAlignment="1">
      <alignment wrapText="1"/>
    </xf>
    <xf numFmtId="0" fontId="6" fillId="5" borderId="43" xfId="0" applyFont="1" applyFill="1" applyBorder="1" applyAlignment="1">
      <alignment horizontal="center" vertical="center" wrapText="1"/>
    </xf>
    <xf numFmtId="0" fontId="0" fillId="0" borderId="43" xfId="0"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6" fillId="5" borderId="68" xfId="0" applyFont="1" applyFill="1" applyBorder="1" applyAlignment="1">
      <alignment horizontal="center" vertical="center" wrapText="1"/>
    </xf>
    <xf numFmtId="0" fontId="0" fillId="0" borderId="68" xfId="0" applyBorder="1" applyAlignment="1">
      <alignment horizontal="center" vertical="center"/>
    </xf>
    <xf numFmtId="0" fontId="1" fillId="0" borderId="60" xfId="0" applyFont="1" applyBorder="1" applyAlignment="1">
      <alignment horizontal="center"/>
    </xf>
    <xf numFmtId="0" fontId="1" fillId="0" borderId="56" xfId="0" applyFont="1" applyBorder="1" applyAlignment="1">
      <alignment wrapText="1"/>
    </xf>
    <xf numFmtId="0" fontId="0" fillId="0" borderId="56" xfId="0" applyBorder="1"/>
    <xf numFmtId="0" fontId="0" fillId="0" borderId="56" xfId="0" applyBorder="1" applyAlignment="1">
      <alignment wrapText="1"/>
    </xf>
    <xf numFmtId="0" fontId="0" fillId="0" borderId="56" xfId="0" applyBorder="1" applyAlignment="1">
      <alignment horizontal="center" vertical="center"/>
    </xf>
    <xf numFmtId="0" fontId="0" fillId="0" borderId="69" xfId="0" applyBorder="1" applyAlignment="1">
      <alignment horizontal="center" vertical="center"/>
    </xf>
    <xf numFmtId="0" fontId="0" fillId="0" borderId="43" xfId="0" applyFont="1" applyFill="1" applyBorder="1" applyAlignment="1">
      <alignment horizontal="left" vertical="center" wrapText="1"/>
    </xf>
    <xf numFmtId="0" fontId="0" fillId="0" borderId="45" xfId="0" applyFont="1" applyFill="1" applyBorder="1" applyAlignment="1">
      <alignment horizontal="left" vertical="center" wrapText="1"/>
    </xf>
    <xf numFmtId="0" fontId="1" fillId="0" borderId="0" xfId="0" applyFont="1"/>
    <xf numFmtId="2" fontId="1" fillId="0" borderId="0" xfId="0" applyNumberFormat="1" applyFont="1"/>
    <xf numFmtId="0" fontId="10" fillId="6" borderId="0" xfId="0" applyFont="1" applyFill="1"/>
    <xf numFmtId="0" fontId="10" fillId="6" borderId="66" xfId="0" applyFont="1" applyFill="1" applyBorder="1"/>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0" fillId="0" borderId="68" xfId="0"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67" xfId="0" applyFont="1" applyFill="1" applyBorder="1" applyAlignment="1">
      <alignment horizontal="center" vertical="center" wrapText="1"/>
    </xf>
    <xf numFmtId="0" fontId="1" fillId="0" borderId="43" xfId="0" applyFont="1" applyBorder="1" applyAlignment="1">
      <alignment horizontal="center" vertical="center" wrapText="1"/>
    </xf>
    <xf numFmtId="0" fontId="0" fillId="0" borderId="68" xfId="0" applyBorder="1" applyAlignment="1">
      <alignment horizontal="center" vertical="center"/>
    </xf>
    <xf numFmtId="0" fontId="1" fillId="0" borderId="44" xfId="0" applyFont="1" applyBorder="1" applyAlignment="1">
      <alignment horizontal="center" vertical="center" wrapText="1"/>
    </xf>
    <xf numFmtId="0" fontId="0" fillId="0" borderId="0" xfId="0"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3" xfId="0" applyBorder="1" applyAlignment="1">
      <alignment horizontal="left" vertical="top" wrapText="1"/>
    </xf>
    <xf numFmtId="0" fontId="0" fillId="0" borderId="9" xfId="0" applyBorder="1" applyAlignment="1">
      <alignment horizontal="left" vertical="top" wrapText="1"/>
    </xf>
    <xf numFmtId="0" fontId="0" fillId="0" borderId="64" xfId="0" applyBorder="1" applyAlignment="1">
      <alignment horizontal="left" vertical="top" wrapText="1"/>
    </xf>
    <xf numFmtId="0" fontId="0" fillId="0" borderId="65" xfId="0" applyBorder="1" applyAlignment="1">
      <alignment horizontal="left" vertical="top" wrapText="1"/>
    </xf>
    <xf numFmtId="0" fontId="0" fillId="0" borderId="0" xfId="0" applyBorder="1" applyAlignment="1">
      <alignment horizontal="left" vertical="top" wrapText="1"/>
    </xf>
    <xf numFmtId="0" fontId="0" fillId="0" borderId="66" xfId="0" applyBorder="1" applyAlignment="1">
      <alignment horizontal="left" vertical="top" wrapText="1"/>
    </xf>
    <xf numFmtId="0" fontId="0" fillId="0" borderId="46" xfId="0" applyBorder="1" applyAlignment="1">
      <alignment horizontal="left" vertical="top" wrapText="1"/>
    </xf>
    <xf numFmtId="0" fontId="0" fillId="0" borderId="61" xfId="0" applyBorder="1" applyAlignment="1">
      <alignment horizontal="left" vertical="top" wrapText="1"/>
    </xf>
    <xf numFmtId="0" fontId="0" fillId="0" borderId="62" xfId="0" applyBorder="1" applyAlignment="1">
      <alignment horizontal="left" vertical="top" wrapText="1"/>
    </xf>
    <xf numFmtId="0" fontId="0" fillId="0" borderId="18" xfId="0" applyBorder="1" applyAlignment="1">
      <alignment horizontal="center" vertical="center"/>
    </xf>
    <xf numFmtId="0" fontId="1" fillId="0" borderId="3" xfId="0" applyFont="1" applyBorder="1" applyAlignment="1">
      <alignment horizontal="left"/>
    </xf>
    <xf numFmtId="0" fontId="1" fillId="0" borderId="5" xfId="0" applyFont="1" applyBorder="1" applyAlignment="1">
      <alignment horizontal="left"/>
    </xf>
    <xf numFmtId="0" fontId="1" fillId="0" borderId="4" xfId="0" applyFont="1" applyBorder="1" applyAlignment="1">
      <alignment horizontal="left"/>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30" xfId="0" applyFont="1" applyBorder="1" applyAlignment="1">
      <alignment horizontal="center" vertical="center"/>
    </xf>
    <xf numFmtId="0" fontId="1" fillId="0" borderId="2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O5" sqref="O5"/>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122"/>
      <c r="B1" s="123"/>
      <c r="C1" s="124" t="s">
        <v>245</v>
      </c>
      <c r="D1" s="125"/>
      <c r="E1" s="125"/>
      <c r="F1" s="125"/>
      <c r="G1" s="125"/>
      <c r="H1" s="125"/>
      <c r="I1" s="125"/>
      <c r="J1" s="125"/>
      <c r="K1" s="125"/>
      <c r="L1" s="125"/>
      <c r="M1" s="126"/>
    </row>
    <row r="2" spans="1:13" ht="29.25" customHeight="1" thickBot="1" x14ac:dyDescent="0.3">
      <c r="A2" s="1" t="s">
        <v>0</v>
      </c>
      <c r="B2" s="2" t="s">
        <v>1</v>
      </c>
      <c r="C2" s="3" t="s">
        <v>2</v>
      </c>
      <c r="D2" s="4" t="s">
        <v>3</v>
      </c>
      <c r="E2" s="4" t="s">
        <v>4</v>
      </c>
      <c r="F2" s="4" t="s">
        <v>5</v>
      </c>
      <c r="G2" s="5" t="s">
        <v>6</v>
      </c>
      <c r="H2" s="6" t="s">
        <v>7</v>
      </c>
      <c r="I2" s="7" t="s">
        <v>8</v>
      </c>
      <c r="J2" s="127" t="s">
        <v>9</v>
      </c>
      <c r="K2" s="128"/>
      <c r="L2" s="128"/>
      <c r="M2" s="129"/>
    </row>
    <row r="3" spans="1:13" ht="37.5" customHeight="1" x14ac:dyDescent="0.25">
      <c r="A3" s="130">
        <v>1</v>
      </c>
      <c r="B3" s="133" t="s">
        <v>10</v>
      </c>
      <c r="C3" s="136" t="s">
        <v>11</v>
      </c>
      <c r="D3" s="139" t="s">
        <v>12</v>
      </c>
      <c r="E3" s="139" t="s">
        <v>13</v>
      </c>
      <c r="F3" s="139" t="s">
        <v>14</v>
      </c>
      <c r="G3" s="139" t="s">
        <v>15</v>
      </c>
      <c r="H3" s="142" t="s">
        <v>16</v>
      </c>
      <c r="I3" s="105"/>
      <c r="J3" s="107"/>
      <c r="K3" s="108"/>
      <c r="L3" s="108"/>
      <c r="M3" s="109"/>
    </row>
    <row r="4" spans="1:13" x14ac:dyDescent="0.25">
      <c r="A4" s="131"/>
      <c r="B4" s="134"/>
      <c r="C4" s="137"/>
      <c r="D4" s="140"/>
      <c r="E4" s="140"/>
      <c r="F4" s="140"/>
      <c r="G4" s="140"/>
      <c r="H4" s="143"/>
      <c r="I4" s="105"/>
      <c r="J4" s="110"/>
      <c r="K4" s="111"/>
      <c r="L4" s="111"/>
      <c r="M4" s="112"/>
    </row>
    <row r="5" spans="1:13" ht="15.75" thickBot="1" x14ac:dyDescent="0.3">
      <c r="A5" s="132"/>
      <c r="B5" s="135"/>
      <c r="C5" s="138"/>
      <c r="D5" s="141"/>
      <c r="E5" s="141"/>
      <c r="F5" s="141"/>
      <c r="G5" s="141"/>
      <c r="H5" s="144"/>
      <c r="I5" s="106"/>
      <c r="J5" s="145"/>
      <c r="K5" s="146"/>
      <c r="L5" s="146"/>
      <c r="M5" s="147"/>
    </row>
    <row r="6" spans="1:13" x14ac:dyDescent="0.25">
      <c r="A6" s="113">
        <v>2</v>
      </c>
      <c r="B6" s="116" t="s">
        <v>17</v>
      </c>
      <c r="C6" s="119" t="s">
        <v>18</v>
      </c>
      <c r="D6" s="92" t="s">
        <v>19</v>
      </c>
      <c r="E6" s="92" t="s">
        <v>20</v>
      </c>
      <c r="F6" s="92" t="s">
        <v>21</v>
      </c>
      <c r="G6" s="95" t="s">
        <v>22</v>
      </c>
      <c r="H6" s="101" t="s">
        <v>23</v>
      </c>
      <c r="I6" s="104"/>
      <c r="J6" s="107"/>
      <c r="K6" s="108"/>
      <c r="L6" s="108"/>
      <c r="M6" s="109"/>
    </row>
    <row r="7" spans="1:13" ht="25.5" customHeight="1" x14ac:dyDescent="0.25">
      <c r="A7" s="114"/>
      <c r="B7" s="117"/>
      <c r="C7" s="120"/>
      <c r="D7" s="93"/>
      <c r="E7" s="93"/>
      <c r="F7" s="93"/>
      <c r="G7" s="96"/>
      <c r="H7" s="102"/>
      <c r="I7" s="105"/>
      <c r="J7" s="110"/>
      <c r="K7" s="111"/>
      <c r="L7" s="111"/>
      <c r="M7" s="112"/>
    </row>
    <row r="8" spans="1:13" ht="25.5" customHeight="1" x14ac:dyDescent="0.25">
      <c r="A8" s="114"/>
      <c r="B8" s="117"/>
      <c r="C8" s="120"/>
      <c r="D8" s="93"/>
      <c r="E8" s="93"/>
      <c r="F8" s="93"/>
      <c r="G8" s="96"/>
      <c r="H8" s="102"/>
      <c r="I8" s="105"/>
      <c r="J8" s="110"/>
      <c r="K8" s="111"/>
      <c r="L8" s="111"/>
      <c r="M8" s="112"/>
    </row>
    <row r="9" spans="1:13" ht="23.25" customHeight="1" thickBot="1" x14ac:dyDescent="0.3">
      <c r="A9" s="115"/>
      <c r="B9" s="118"/>
      <c r="C9" s="121"/>
      <c r="D9" s="94"/>
      <c r="E9" s="94"/>
      <c r="F9" s="94"/>
      <c r="G9" s="97"/>
      <c r="H9" s="103"/>
      <c r="I9" s="106"/>
      <c r="J9" s="110"/>
      <c r="K9" s="111"/>
      <c r="L9" s="111"/>
      <c r="M9" s="112"/>
    </row>
    <row r="10" spans="1:13" ht="63" customHeight="1" thickBot="1" x14ac:dyDescent="0.3">
      <c r="A10" s="8">
        <v>3</v>
      </c>
      <c r="B10" s="9" t="s">
        <v>24</v>
      </c>
      <c r="C10" s="10" t="s">
        <v>25</v>
      </c>
      <c r="D10" s="11" t="s">
        <v>26</v>
      </c>
      <c r="E10" s="11" t="s">
        <v>27</v>
      </c>
      <c r="F10" s="12" t="s">
        <v>28</v>
      </c>
      <c r="G10" s="12" t="s">
        <v>29</v>
      </c>
      <c r="H10" s="13" t="s">
        <v>30</v>
      </c>
      <c r="I10" s="14"/>
      <c r="J10" s="98"/>
      <c r="K10" s="99"/>
      <c r="L10" s="99"/>
      <c r="M10" s="100"/>
    </row>
    <row r="11" spans="1:13" ht="84.75" customHeight="1" thickBot="1" x14ac:dyDescent="0.3">
      <c r="A11" s="8">
        <v>4</v>
      </c>
      <c r="B11" s="15" t="s">
        <v>31</v>
      </c>
      <c r="C11" s="16" t="s">
        <v>32</v>
      </c>
      <c r="D11" s="17" t="s">
        <v>33</v>
      </c>
      <c r="E11" s="18" t="s">
        <v>34</v>
      </c>
      <c r="F11" s="17" t="s">
        <v>35</v>
      </c>
      <c r="G11" s="17" t="s">
        <v>36</v>
      </c>
      <c r="H11" s="19" t="s">
        <v>37</v>
      </c>
      <c r="I11" s="20"/>
      <c r="J11" s="107"/>
      <c r="K11" s="108"/>
      <c r="L11" s="108"/>
      <c r="M11" s="109"/>
    </row>
    <row r="12" spans="1:13" ht="78" customHeight="1" thickBot="1" x14ac:dyDescent="0.3">
      <c r="A12" s="21">
        <v>5</v>
      </c>
      <c r="B12" s="22" t="s">
        <v>38</v>
      </c>
      <c r="C12" s="16" t="s">
        <v>39</v>
      </c>
      <c r="D12" s="17" t="s">
        <v>40</v>
      </c>
      <c r="E12" s="18" t="s">
        <v>41</v>
      </c>
      <c r="F12" s="17" t="s">
        <v>42</v>
      </c>
      <c r="G12" s="17" t="s">
        <v>43</v>
      </c>
      <c r="H12" s="23" t="s">
        <v>44</v>
      </c>
      <c r="I12" s="20"/>
      <c r="J12" s="98"/>
      <c r="K12" s="99"/>
      <c r="L12" s="99"/>
      <c r="M12" s="100"/>
    </row>
    <row r="13" spans="1:13" ht="77.25" thickBot="1" x14ac:dyDescent="0.3">
      <c r="A13" s="21">
        <v>6</v>
      </c>
      <c r="B13" s="22" t="s">
        <v>45</v>
      </c>
      <c r="C13" s="16" t="s">
        <v>46</v>
      </c>
      <c r="D13" s="17" t="s">
        <v>47</v>
      </c>
      <c r="E13" s="18" t="s">
        <v>48</v>
      </c>
      <c r="F13" s="17" t="s">
        <v>49</v>
      </c>
      <c r="G13" s="17" t="s">
        <v>50</v>
      </c>
      <c r="H13" s="23" t="s">
        <v>51</v>
      </c>
      <c r="I13" s="20"/>
      <c r="J13" s="98"/>
      <c r="K13" s="99"/>
      <c r="L13" s="99"/>
      <c r="M13" s="100"/>
    </row>
    <row r="14" spans="1:13" ht="64.5" thickBot="1" x14ac:dyDescent="0.3">
      <c r="A14" s="21">
        <v>7</v>
      </c>
      <c r="B14" s="22" t="s">
        <v>52</v>
      </c>
      <c r="C14" s="16" t="s">
        <v>53</v>
      </c>
      <c r="D14" s="17" t="s">
        <v>54</v>
      </c>
      <c r="E14" s="18" t="s">
        <v>55</v>
      </c>
      <c r="F14" s="17" t="s">
        <v>56</v>
      </c>
      <c r="G14" s="17" t="s">
        <v>57</v>
      </c>
      <c r="H14" s="23" t="s">
        <v>58</v>
      </c>
      <c r="I14" s="20"/>
      <c r="J14" s="98"/>
      <c r="K14" s="99"/>
      <c r="L14" s="99"/>
      <c r="M14" s="100"/>
    </row>
  </sheetData>
  <mergeCells count="28">
    <mergeCell ref="A1:B1"/>
    <mergeCell ref="C1:M1"/>
    <mergeCell ref="J2:M2"/>
    <mergeCell ref="A3:A5"/>
    <mergeCell ref="B3:B5"/>
    <mergeCell ref="C3:C5"/>
    <mergeCell ref="D3:D5"/>
    <mergeCell ref="E3:E5"/>
    <mergeCell ref="F3:F5"/>
    <mergeCell ref="G3:G5"/>
    <mergeCell ref="H3:H5"/>
    <mergeCell ref="I3:I5"/>
    <mergeCell ref="J3:M5"/>
    <mergeCell ref="A6:A9"/>
    <mergeCell ref="B6:B9"/>
    <mergeCell ref="C6:C9"/>
    <mergeCell ref="D6:D9"/>
    <mergeCell ref="E6:E9"/>
    <mergeCell ref="F6:F9"/>
    <mergeCell ref="G6:G9"/>
    <mergeCell ref="J13:M13"/>
    <mergeCell ref="J14:M14"/>
    <mergeCell ref="H6:H9"/>
    <mergeCell ref="I6:I9"/>
    <mergeCell ref="J6:M9"/>
    <mergeCell ref="J10:M10"/>
    <mergeCell ref="J11:M11"/>
    <mergeCell ref="J12:M12"/>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71" t="s">
        <v>59</v>
      </c>
      <c r="B1" s="173" t="s">
        <v>60</v>
      </c>
      <c r="C1" s="175" t="s">
        <v>2</v>
      </c>
      <c r="D1" s="177" t="s">
        <v>61</v>
      </c>
      <c r="E1" s="177"/>
      <c r="F1" s="177"/>
      <c r="G1" s="177"/>
      <c r="H1" s="177"/>
      <c r="I1" s="177"/>
    </row>
    <row r="2" spans="1:9" s="27" customFormat="1" ht="18.75" x14ac:dyDescent="0.3">
      <c r="A2" s="172"/>
      <c r="B2" s="174"/>
      <c r="C2" s="176"/>
      <c r="D2" s="24" t="s">
        <v>62</v>
      </c>
      <c r="E2" s="24" t="s">
        <v>63</v>
      </c>
      <c r="F2" s="24" t="s">
        <v>64</v>
      </c>
      <c r="G2" s="24" t="s">
        <v>65</v>
      </c>
      <c r="H2" s="25" t="s">
        <v>66</v>
      </c>
      <c r="I2" s="26" t="s">
        <v>67</v>
      </c>
    </row>
    <row r="3" spans="1:9" ht="21.75" customHeight="1" x14ac:dyDescent="0.25">
      <c r="A3" s="178">
        <v>1</v>
      </c>
      <c r="B3" s="181" t="s">
        <v>10</v>
      </c>
      <c r="C3" s="28" t="s">
        <v>68</v>
      </c>
      <c r="D3" s="29" t="s">
        <v>69</v>
      </c>
      <c r="E3" s="29" t="s">
        <v>70</v>
      </c>
      <c r="F3" s="29" t="s">
        <v>71</v>
      </c>
      <c r="G3" s="29" t="s">
        <v>72</v>
      </c>
      <c r="H3" s="30" t="s">
        <v>73</v>
      </c>
      <c r="I3" s="164">
        <v>5</v>
      </c>
    </row>
    <row r="4" spans="1:9" ht="36" customHeight="1" x14ac:dyDescent="0.25">
      <c r="A4" s="179"/>
      <c r="B4" s="162"/>
      <c r="C4" s="28" t="s">
        <v>74</v>
      </c>
      <c r="D4" s="31" t="s">
        <v>75</v>
      </c>
      <c r="E4" s="31" t="s">
        <v>76</v>
      </c>
      <c r="F4" s="31" t="s">
        <v>77</v>
      </c>
      <c r="G4" s="31" t="s">
        <v>78</v>
      </c>
      <c r="H4" s="32" t="s">
        <v>79</v>
      </c>
      <c r="I4" s="164"/>
    </row>
    <row r="5" spans="1:9" ht="71.25" customHeight="1" x14ac:dyDescent="0.25">
      <c r="A5" s="179"/>
      <c r="B5" s="162"/>
      <c r="C5" s="28" t="s">
        <v>80</v>
      </c>
      <c r="D5" s="31" t="s">
        <v>81</v>
      </c>
      <c r="E5" s="31" t="s">
        <v>226</v>
      </c>
      <c r="F5" s="31" t="s">
        <v>227</v>
      </c>
      <c r="G5" s="31" t="s">
        <v>82</v>
      </c>
      <c r="H5" s="32" t="s">
        <v>83</v>
      </c>
      <c r="I5" s="62">
        <v>5</v>
      </c>
    </row>
    <row r="6" spans="1:9" ht="71.25" customHeight="1" thickBot="1" x14ac:dyDescent="0.3">
      <c r="A6" s="180"/>
      <c r="B6" s="163"/>
      <c r="C6" s="28" t="s">
        <v>84</v>
      </c>
      <c r="D6" s="31" t="s">
        <v>81</v>
      </c>
      <c r="E6" s="31" t="s">
        <v>228</v>
      </c>
      <c r="F6" s="31" t="s">
        <v>229</v>
      </c>
      <c r="G6" s="31" t="s">
        <v>82</v>
      </c>
      <c r="H6" s="32" t="s">
        <v>83</v>
      </c>
      <c r="I6" s="63">
        <v>5</v>
      </c>
    </row>
    <row r="7" spans="1:9" ht="30" x14ac:dyDescent="0.25">
      <c r="A7" s="158">
        <v>2</v>
      </c>
      <c r="B7" s="161" t="s">
        <v>17</v>
      </c>
      <c r="C7" s="34" t="s">
        <v>85</v>
      </c>
      <c r="D7" s="35" t="s">
        <v>86</v>
      </c>
      <c r="E7" s="35" t="s">
        <v>87</v>
      </c>
      <c r="F7" s="35" t="s">
        <v>88</v>
      </c>
      <c r="G7" s="35" t="s">
        <v>89</v>
      </c>
      <c r="H7" s="36" t="s">
        <v>90</v>
      </c>
      <c r="I7" s="164">
        <v>5</v>
      </c>
    </row>
    <row r="8" spans="1:9" ht="60" x14ac:dyDescent="0.25">
      <c r="A8" s="159">
        <v>2</v>
      </c>
      <c r="B8" s="162"/>
      <c r="C8" s="37" t="s">
        <v>91</v>
      </c>
      <c r="D8" s="31" t="s">
        <v>92</v>
      </c>
      <c r="E8" s="31" t="s">
        <v>93</v>
      </c>
      <c r="F8" s="31" t="s">
        <v>94</v>
      </c>
      <c r="G8" s="31" t="s">
        <v>95</v>
      </c>
      <c r="H8" s="32" t="s">
        <v>96</v>
      </c>
      <c r="I8" s="164"/>
    </row>
    <row r="9" spans="1:9" ht="30" x14ac:dyDescent="0.25">
      <c r="A9" s="159"/>
      <c r="B9" s="162"/>
      <c r="C9" s="37" t="s">
        <v>97</v>
      </c>
      <c r="D9" s="29" t="s">
        <v>98</v>
      </c>
      <c r="E9" s="29" t="s">
        <v>99</v>
      </c>
      <c r="F9" s="29" t="s">
        <v>100</v>
      </c>
      <c r="G9" s="29" t="s">
        <v>101</v>
      </c>
      <c r="H9" s="30" t="s">
        <v>102</v>
      </c>
      <c r="I9" s="33">
        <v>5</v>
      </c>
    </row>
    <row r="10" spans="1:9" ht="60" x14ac:dyDescent="0.25">
      <c r="A10" s="159"/>
      <c r="B10" s="162"/>
      <c r="C10" s="67" t="s">
        <v>103</v>
      </c>
      <c r="D10" s="29" t="s">
        <v>104</v>
      </c>
      <c r="E10" s="31" t="s">
        <v>105</v>
      </c>
      <c r="F10" s="31" t="s">
        <v>106</v>
      </c>
      <c r="G10" s="31" t="s">
        <v>107</v>
      </c>
      <c r="H10" s="32" t="s">
        <v>108</v>
      </c>
      <c r="I10" s="33">
        <v>5</v>
      </c>
    </row>
    <row r="11" spans="1:9" ht="45.75" thickBot="1" x14ac:dyDescent="0.3">
      <c r="A11" s="160"/>
      <c r="B11" s="163"/>
      <c r="C11" s="38" t="s">
        <v>109</v>
      </c>
      <c r="D11" s="39" t="s">
        <v>110</v>
      </c>
      <c r="E11" s="39" t="s">
        <v>111</v>
      </c>
      <c r="F11" s="39" t="s">
        <v>112</v>
      </c>
      <c r="G11" s="39" t="s">
        <v>113</v>
      </c>
      <c r="H11" s="40" t="s">
        <v>114</v>
      </c>
      <c r="I11" s="33">
        <v>5</v>
      </c>
    </row>
    <row r="12" spans="1:9" ht="83.25" customHeight="1" x14ac:dyDescent="0.25">
      <c r="A12" s="165">
        <v>3</v>
      </c>
      <c r="B12" s="161" t="s">
        <v>24</v>
      </c>
      <c r="C12" s="41" t="s">
        <v>115</v>
      </c>
      <c r="D12" s="42" t="s">
        <v>116</v>
      </c>
      <c r="E12" s="42" t="s">
        <v>117</v>
      </c>
      <c r="F12" s="42" t="s">
        <v>118</v>
      </c>
      <c r="G12" s="42" t="s">
        <v>119</v>
      </c>
      <c r="H12" s="43" t="s">
        <v>120</v>
      </c>
      <c r="I12" s="169">
        <v>5</v>
      </c>
    </row>
    <row r="13" spans="1:9" ht="45" x14ac:dyDescent="0.25">
      <c r="A13" s="166"/>
      <c r="B13" s="162"/>
      <c r="C13" s="37" t="s">
        <v>121</v>
      </c>
      <c r="D13" s="29" t="s">
        <v>122</v>
      </c>
      <c r="E13" s="29" t="s">
        <v>123</v>
      </c>
      <c r="F13" s="29" t="s">
        <v>124</v>
      </c>
      <c r="G13" s="29" t="s">
        <v>125</v>
      </c>
      <c r="H13" s="30" t="s">
        <v>126</v>
      </c>
      <c r="I13" s="170"/>
    </row>
    <row r="14" spans="1:9" ht="63" customHeight="1" x14ac:dyDescent="0.25">
      <c r="A14" s="166"/>
      <c r="B14" s="162"/>
      <c r="C14" s="37" t="s">
        <v>127</v>
      </c>
      <c r="D14" s="29" t="s">
        <v>128</v>
      </c>
      <c r="E14" s="29" t="s">
        <v>129</v>
      </c>
      <c r="F14" s="29" t="s">
        <v>130</v>
      </c>
      <c r="G14" s="29" t="s">
        <v>131</v>
      </c>
      <c r="H14" s="30" t="s">
        <v>132</v>
      </c>
      <c r="I14" s="44">
        <v>5</v>
      </c>
    </row>
    <row r="15" spans="1:9" ht="90" x14ac:dyDescent="0.25">
      <c r="A15" s="166"/>
      <c r="B15" s="162"/>
      <c r="C15" s="37" t="s">
        <v>133</v>
      </c>
      <c r="D15" s="29" t="s">
        <v>134</v>
      </c>
      <c r="E15" s="29" t="s">
        <v>135</v>
      </c>
      <c r="F15" s="29" t="s">
        <v>136</v>
      </c>
      <c r="G15" s="29" t="s">
        <v>137</v>
      </c>
      <c r="H15" s="30" t="s">
        <v>138</v>
      </c>
      <c r="I15" s="45">
        <v>5</v>
      </c>
    </row>
    <row r="16" spans="1:9" ht="90" x14ac:dyDescent="0.25">
      <c r="A16" s="167"/>
      <c r="B16" s="168"/>
      <c r="C16" s="28" t="s">
        <v>139</v>
      </c>
      <c r="D16" s="29" t="s">
        <v>134</v>
      </c>
      <c r="E16" s="29" t="s">
        <v>135</v>
      </c>
      <c r="F16" s="29" t="s">
        <v>136</v>
      </c>
      <c r="G16" s="29" t="s">
        <v>137</v>
      </c>
      <c r="H16" s="30" t="s">
        <v>138</v>
      </c>
      <c r="I16" s="33">
        <v>5</v>
      </c>
    </row>
    <row r="17" spans="1:9" ht="72" customHeight="1" x14ac:dyDescent="0.25">
      <c r="A17" s="151">
        <v>4</v>
      </c>
      <c r="B17" s="153" t="s">
        <v>31</v>
      </c>
      <c r="C17" s="28" t="s">
        <v>140</v>
      </c>
      <c r="D17" s="28" t="s">
        <v>141</v>
      </c>
      <c r="E17" s="28" t="s">
        <v>142</v>
      </c>
      <c r="F17" s="28" t="s">
        <v>143</v>
      </c>
      <c r="G17" s="28" t="s">
        <v>144</v>
      </c>
      <c r="H17" s="46" t="s">
        <v>145</v>
      </c>
      <c r="I17" s="33">
        <v>5</v>
      </c>
    </row>
    <row r="18" spans="1:9" ht="45" x14ac:dyDescent="0.25">
      <c r="A18" s="151"/>
      <c r="B18" s="153"/>
      <c r="C18" s="28" t="s">
        <v>146</v>
      </c>
      <c r="D18" s="29" t="s">
        <v>147</v>
      </c>
      <c r="E18" s="29" t="s">
        <v>148</v>
      </c>
      <c r="F18" s="29" t="s">
        <v>149</v>
      </c>
      <c r="G18" s="29" t="s">
        <v>150</v>
      </c>
      <c r="H18" s="30" t="s">
        <v>151</v>
      </c>
      <c r="I18" s="33">
        <v>5</v>
      </c>
    </row>
    <row r="19" spans="1:9" ht="60" x14ac:dyDescent="0.25">
      <c r="A19" s="151"/>
      <c r="B19" s="153"/>
      <c r="C19" s="28" t="s">
        <v>152</v>
      </c>
      <c r="D19" s="29" t="s">
        <v>153</v>
      </c>
      <c r="E19" s="29" t="s">
        <v>154</v>
      </c>
      <c r="F19" s="29" t="s">
        <v>155</v>
      </c>
      <c r="G19" s="29" t="s">
        <v>156</v>
      </c>
      <c r="H19" s="30" t="s">
        <v>157</v>
      </c>
      <c r="I19" s="33">
        <v>5</v>
      </c>
    </row>
    <row r="20" spans="1:9" ht="76.5" x14ac:dyDescent="0.25">
      <c r="A20" s="151"/>
      <c r="B20" s="153"/>
      <c r="C20" s="28" t="s">
        <v>158</v>
      </c>
      <c r="D20" s="29" t="s">
        <v>159</v>
      </c>
      <c r="E20" s="29" t="s">
        <v>160</v>
      </c>
      <c r="F20" s="29" t="s">
        <v>161</v>
      </c>
      <c r="G20" s="29" t="s">
        <v>162</v>
      </c>
      <c r="H20" s="30" t="s">
        <v>163</v>
      </c>
      <c r="I20" s="33">
        <v>5</v>
      </c>
    </row>
    <row r="21" spans="1:9" ht="90" x14ac:dyDescent="0.25">
      <c r="A21" s="155">
        <v>5</v>
      </c>
      <c r="B21" s="156" t="s">
        <v>164</v>
      </c>
      <c r="C21" s="28" t="s">
        <v>165</v>
      </c>
      <c r="D21" s="31" t="s">
        <v>166</v>
      </c>
      <c r="E21" s="31" t="s">
        <v>167</v>
      </c>
      <c r="F21" s="31" t="s">
        <v>168</v>
      </c>
      <c r="G21" s="31" t="s">
        <v>169</v>
      </c>
      <c r="H21" s="32" t="s">
        <v>170</v>
      </c>
      <c r="I21" s="47">
        <v>5</v>
      </c>
    </row>
    <row r="22" spans="1:9" ht="90" x14ac:dyDescent="0.25">
      <c r="A22" s="155"/>
      <c r="B22" s="156"/>
      <c r="C22" s="28" t="s">
        <v>171</v>
      </c>
      <c r="D22" s="31" t="s">
        <v>172</v>
      </c>
      <c r="E22" s="31" t="s">
        <v>173</v>
      </c>
      <c r="F22" s="31" t="s">
        <v>174</v>
      </c>
      <c r="G22" s="31" t="s">
        <v>175</v>
      </c>
      <c r="H22" s="32" t="s">
        <v>176</v>
      </c>
      <c r="I22" s="47">
        <v>5</v>
      </c>
    </row>
    <row r="23" spans="1:9" ht="56.25" customHeight="1" x14ac:dyDescent="0.25">
      <c r="A23" s="155"/>
      <c r="B23" s="156"/>
      <c r="C23" s="28" t="s">
        <v>177</v>
      </c>
      <c r="D23" s="31" t="s">
        <v>178</v>
      </c>
      <c r="E23" s="31" t="s">
        <v>179</v>
      </c>
      <c r="F23" s="31" t="s">
        <v>180</v>
      </c>
      <c r="G23" s="31" t="s">
        <v>181</v>
      </c>
      <c r="H23" s="32" t="s">
        <v>182</v>
      </c>
      <c r="I23" s="47">
        <v>5</v>
      </c>
    </row>
    <row r="24" spans="1:9" ht="90" x14ac:dyDescent="0.25">
      <c r="A24" s="155"/>
      <c r="B24" s="156"/>
      <c r="C24" s="48" t="s">
        <v>183</v>
      </c>
      <c r="D24" s="49" t="s">
        <v>184</v>
      </c>
      <c r="E24" s="50" t="s">
        <v>185</v>
      </c>
      <c r="F24" s="50" t="s">
        <v>186</v>
      </c>
      <c r="G24" s="51" t="s">
        <v>187</v>
      </c>
      <c r="H24" s="52" t="s">
        <v>188</v>
      </c>
      <c r="I24" s="47">
        <v>5</v>
      </c>
    </row>
    <row r="25" spans="1:9" ht="90" x14ac:dyDescent="0.25">
      <c r="A25" s="155"/>
      <c r="B25" s="156"/>
      <c r="C25" s="53" t="s">
        <v>189</v>
      </c>
      <c r="D25" s="31" t="s">
        <v>184</v>
      </c>
      <c r="E25" s="31" t="s">
        <v>190</v>
      </c>
      <c r="F25" s="31" t="s">
        <v>191</v>
      </c>
      <c r="G25" s="31" t="s">
        <v>192</v>
      </c>
      <c r="H25" s="32" t="s">
        <v>188</v>
      </c>
      <c r="I25" s="47">
        <v>5</v>
      </c>
    </row>
    <row r="26" spans="1:9" ht="66.75" customHeight="1" x14ac:dyDescent="0.25">
      <c r="A26" s="157">
        <v>6</v>
      </c>
      <c r="B26" s="156" t="s">
        <v>246</v>
      </c>
      <c r="C26" s="54" t="s">
        <v>193</v>
      </c>
      <c r="D26" s="49" t="s">
        <v>194</v>
      </c>
      <c r="E26" s="55" t="s">
        <v>195</v>
      </c>
      <c r="F26" s="55" t="s">
        <v>196</v>
      </c>
      <c r="G26" s="55" t="s">
        <v>197</v>
      </c>
      <c r="H26" s="56" t="s">
        <v>198</v>
      </c>
      <c r="I26" s="148">
        <v>5</v>
      </c>
    </row>
    <row r="27" spans="1:9" ht="75" x14ac:dyDescent="0.25">
      <c r="A27" s="157"/>
      <c r="B27" s="156"/>
      <c r="C27" s="28" t="s">
        <v>199</v>
      </c>
      <c r="D27" s="31" t="s">
        <v>200</v>
      </c>
      <c r="E27" s="55" t="s">
        <v>201</v>
      </c>
      <c r="F27" s="55" t="s">
        <v>202</v>
      </c>
      <c r="G27" s="55" t="s">
        <v>203</v>
      </c>
      <c r="H27" s="56" t="s">
        <v>204</v>
      </c>
      <c r="I27" s="149"/>
    </row>
    <row r="28" spans="1:9" ht="60" x14ac:dyDescent="0.25">
      <c r="A28" s="157"/>
      <c r="B28" s="156"/>
      <c r="C28" s="28" t="s">
        <v>205</v>
      </c>
      <c r="D28" s="31" t="s">
        <v>206</v>
      </c>
      <c r="E28" s="31" t="s">
        <v>207</v>
      </c>
      <c r="F28" s="31" t="s">
        <v>208</v>
      </c>
      <c r="G28" s="31" t="s">
        <v>209</v>
      </c>
      <c r="H28" s="32" t="s">
        <v>210</v>
      </c>
      <c r="I28" s="149"/>
    </row>
    <row r="29" spans="1:9" ht="45" x14ac:dyDescent="0.25">
      <c r="A29" s="157"/>
      <c r="B29" s="156"/>
      <c r="C29" s="28" t="s">
        <v>211</v>
      </c>
      <c r="D29" s="31" t="s">
        <v>212</v>
      </c>
      <c r="E29" s="31" t="s">
        <v>213</v>
      </c>
      <c r="F29" s="31" t="s">
        <v>214</v>
      </c>
      <c r="G29" s="31" t="s">
        <v>215</v>
      </c>
      <c r="H29" s="32" t="s">
        <v>216</v>
      </c>
      <c r="I29" s="150"/>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51">
        <v>7</v>
      </c>
      <c r="B31" s="153" t="s">
        <v>52</v>
      </c>
      <c r="C31" s="28" t="s">
        <v>217</v>
      </c>
      <c r="D31" s="29" t="s">
        <v>230</v>
      </c>
      <c r="E31" s="29" t="s">
        <v>231</v>
      </c>
      <c r="F31" s="29" t="s">
        <v>232</v>
      </c>
      <c r="G31" s="29" t="s">
        <v>233</v>
      </c>
      <c r="H31" s="30" t="s">
        <v>234</v>
      </c>
      <c r="I31" s="33">
        <v>5</v>
      </c>
    </row>
    <row r="32" spans="1:9" ht="104.25" customHeight="1" x14ac:dyDescent="0.25">
      <c r="A32" s="151"/>
      <c r="B32" s="153"/>
      <c r="C32" s="28" t="s">
        <v>218</v>
      </c>
      <c r="D32" s="29" t="s">
        <v>235</v>
      </c>
      <c r="E32" s="29" t="s">
        <v>236</v>
      </c>
      <c r="F32" s="29" t="s">
        <v>237</v>
      </c>
      <c r="G32" s="29" t="s">
        <v>238</v>
      </c>
      <c r="H32" s="30" t="s">
        <v>239</v>
      </c>
      <c r="I32" s="33">
        <v>5</v>
      </c>
    </row>
    <row r="33" spans="1:9" ht="75" x14ac:dyDescent="0.25">
      <c r="A33" s="151"/>
      <c r="B33" s="153"/>
      <c r="C33" s="28" t="s">
        <v>219</v>
      </c>
      <c r="D33" s="29" t="s">
        <v>240</v>
      </c>
      <c r="E33" s="29" t="s">
        <v>241</v>
      </c>
      <c r="F33" s="29" t="s">
        <v>242</v>
      </c>
      <c r="G33" s="29" t="s">
        <v>243</v>
      </c>
      <c r="H33" s="30" t="s">
        <v>244</v>
      </c>
      <c r="I33" s="33">
        <v>5</v>
      </c>
    </row>
    <row r="34" spans="1:9" ht="96.75" customHeight="1" thickBot="1" x14ac:dyDescent="0.3">
      <c r="A34" s="152"/>
      <c r="B34" s="154"/>
      <c r="C34" s="57" t="s">
        <v>220</v>
      </c>
      <c r="D34" s="39" t="s">
        <v>221</v>
      </c>
      <c r="E34" s="39" t="s">
        <v>222</v>
      </c>
      <c r="F34" s="39" t="s">
        <v>223</v>
      </c>
      <c r="G34" s="39" t="s">
        <v>224</v>
      </c>
      <c r="H34" s="40" t="s">
        <v>225</v>
      </c>
      <c r="I34" s="33">
        <v>5</v>
      </c>
    </row>
    <row r="35" spans="1:9" x14ac:dyDescent="0.25">
      <c r="I35" s="33">
        <f>SUM(I31:I34)</f>
        <v>20</v>
      </c>
    </row>
  </sheetData>
  <mergeCells count="22">
    <mergeCell ref="A1:A2"/>
    <mergeCell ref="B1:B2"/>
    <mergeCell ref="C1:C2"/>
    <mergeCell ref="D1:I1"/>
    <mergeCell ref="A3:A6"/>
    <mergeCell ref="B3:B6"/>
    <mergeCell ref="I3:I4"/>
    <mergeCell ref="A7:A11"/>
    <mergeCell ref="B7:B11"/>
    <mergeCell ref="I7:I8"/>
    <mergeCell ref="A12:A16"/>
    <mergeCell ref="B12:B16"/>
    <mergeCell ref="I12:I13"/>
    <mergeCell ref="I26:I29"/>
    <mergeCell ref="A31:A34"/>
    <mergeCell ref="B31:B34"/>
    <mergeCell ref="A17:A20"/>
    <mergeCell ref="B17:B20"/>
    <mergeCell ref="A21:A25"/>
    <mergeCell ref="B21:B25"/>
    <mergeCell ref="A26:A29"/>
    <mergeCell ref="B26:B29"/>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zoomScale="80" zoomScaleNormal="80" zoomScaleSheetLayoutView="80" workbookViewId="0">
      <pane xSplit="2" ySplit="5" topLeftCell="C27" activePane="bottomRight" state="frozen"/>
      <selection pane="topRight" activeCell="C1" sqref="C1"/>
      <selection pane="bottomLeft" activeCell="A4" sqref="A4"/>
      <selection pane="bottomRight" activeCell="M7" sqref="M7"/>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 min="10" max="10" width="9.140625" style="61"/>
    <col min="13" max="13" width="14.85546875" customWidth="1"/>
    <col min="14" max="14" width="11.5703125" customWidth="1"/>
  </cols>
  <sheetData>
    <row r="1" spans="1:11" ht="31.5" customHeight="1" thickBot="1" x14ac:dyDescent="0.3">
      <c r="A1" s="188"/>
      <c r="B1" s="188"/>
      <c r="C1" s="208" t="s">
        <v>299</v>
      </c>
      <c r="D1" s="209"/>
      <c r="E1" s="209"/>
      <c r="F1" s="209"/>
      <c r="G1" s="209"/>
      <c r="H1" s="209"/>
      <c r="I1" s="209"/>
      <c r="J1" s="210"/>
    </row>
    <row r="2" spans="1:11" ht="15.75" thickBot="1" x14ac:dyDescent="0.3">
      <c r="A2" s="188"/>
      <c r="B2" s="188"/>
      <c r="C2" s="205" t="s">
        <v>360</v>
      </c>
      <c r="D2" s="206"/>
      <c r="E2" s="205" t="s">
        <v>300</v>
      </c>
      <c r="F2" s="206"/>
      <c r="G2" s="214" t="s">
        <v>301</v>
      </c>
      <c r="H2" s="205" t="s">
        <v>302</v>
      </c>
      <c r="I2" s="207"/>
      <c r="J2" s="206"/>
    </row>
    <row r="3" spans="1:11" ht="15.75" customHeight="1" thickBot="1" x14ac:dyDescent="0.3">
      <c r="A3" s="146"/>
      <c r="B3" s="146"/>
      <c r="C3" s="207" t="s">
        <v>303</v>
      </c>
      <c r="D3" s="207"/>
      <c r="E3" s="205" t="s">
        <v>304</v>
      </c>
      <c r="F3" s="206"/>
      <c r="G3" s="215"/>
      <c r="H3" s="211" t="s">
        <v>305</v>
      </c>
      <c r="I3" s="212"/>
      <c r="J3" s="213"/>
    </row>
    <row r="4" spans="1:11" ht="18.75" x14ac:dyDescent="0.25">
      <c r="A4" s="171" t="s">
        <v>59</v>
      </c>
      <c r="B4" s="173" t="s">
        <v>60</v>
      </c>
      <c r="C4" s="175" t="s">
        <v>2</v>
      </c>
      <c r="D4" s="183" t="s">
        <v>61</v>
      </c>
      <c r="E4" s="183"/>
      <c r="F4" s="183"/>
      <c r="G4" s="183"/>
      <c r="H4" s="183"/>
      <c r="I4" s="183"/>
      <c r="J4" s="184"/>
    </row>
    <row r="5" spans="1:11" s="27" customFormat="1" ht="18.75" x14ac:dyDescent="0.3">
      <c r="A5" s="172"/>
      <c r="B5" s="174"/>
      <c r="C5" s="176"/>
      <c r="D5" s="69" t="s">
        <v>62</v>
      </c>
      <c r="E5" s="69" t="s">
        <v>63</v>
      </c>
      <c r="F5" s="69" t="s">
        <v>64</v>
      </c>
      <c r="G5" s="69" t="s">
        <v>65</v>
      </c>
      <c r="H5" s="69" t="s">
        <v>66</v>
      </c>
      <c r="I5" s="74" t="s">
        <v>67</v>
      </c>
      <c r="J5" s="78" t="s">
        <v>67</v>
      </c>
    </row>
    <row r="6" spans="1:11" ht="96.75" customHeight="1" x14ac:dyDescent="0.25">
      <c r="A6" s="187">
        <v>1</v>
      </c>
      <c r="B6" s="185" t="s">
        <v>10</v>
      </c>
      <c r="C6" s="28" t="s">
        <v>68</v>
      </c>
      <c r="D6" s="29" t="s">
        <v>285</v>
      </c>
      <c r="E6" s="29" t="s">
        <v>286</v>
      </c>
      <c r="F6" s="29" t="s">
        <v>320</v>
      </c>
      <c r="G6" s="29" t="s">
        <v>321</v>
      </c>
      <c r="H6" s="29" t="s">
        <v>319</v>
      </c>
      <c r="I6" s="164">
        <v>10</v>
      </c>
      <c r="J6" s="186">
        <v>15</v>
      </c>
      <c r="K6" s="61">
        <v>6</v>
      </c>
    </row>
    <row r="7" spans="1:11" ht="94.5" customHeight="1" x14ac:dyDescent="0.25">
      <c r="A7" s="187"/>
      <c r="B7" s="185"/>
      <c r="C7" s="28" t="s">
        <v>74</v>
      </c>
      <c r="D7" s="31" t="s">
        <v>287</v>
      </c>
      <c r="E7" s="31" t="s">
        <v>271</v>
      </c>
      <c r="F7" s="31" t="s">
        <v>272</v>
      </c>
      <c r="G7" s="31" t="s">
        <v>273</v>
      </c>
      <c r="H7" s="31" t="s">
        <v>79</v>
      </c>
      <c r="I7" s="164"/>
      <c r="J7" s="186"/>
      <c r="K7" s="61">
        <v>0</v>
      </c>
    </row>
    <row r="8" spans="1:11" ht="94.5" customHeight="1" x14ac:dyDescent="0.25">
      <c r="A8" s="187"/>
      <c r="B8" s="185"/>
      <c r="C8" s="28" t="s">
        <v>277</v>
      </c>
      <c r="D8" s="31" t="s">
        <v>247</v>
      </c>
      <c r="E8" s="31" t="s">
        <v>248</v>
      </c>
      <c r="F8" s="31" t="s">
        <v>249</v>
      </c>
      <c r="G8" s="31" t="s">
        <v>250</v>
      </c>
      <c r="H8" s="31" t="s">
        <v>251</v>
      </c>
      <c r="I8" s="47">
        <v>5</v>
      </c>
      <c r="J8" s="186"/>
      <c r="K8" s="61">
        <v>3</v>
      </c>
    </row>
    <row r="9" spans="1:11" ht="60" customHeight="1" x14ac:dyDescent="0.25">
      <c r="A9" s="187">
        <v>2</v>
      </c>
      <c r="B9" s="153" t="s">
        <v>17</v>
      </c>
      <c r="C9" s="28" t="s">
        <v>322</v>
      </c>
      <c r="D9" s="31" t="s">
        <v>323</v>
      </c>
      <c r="E9" s="31" t="s">
        <v>324</v>
      </c>
      <c r="F9" s="31" t="s">
        <v>325</v>
      </c>
      <c r="G9" s="31" t="s">
        <v>326</v>
      </c>
      <c r="H9" s="31" t="s">
        <v>327</v>
      </c>
      <c r="I9" s="164">
        <v>5</v>
      </c>
      <c r="J9" s="186">
        <v>20</v>
      </c>
      <c r="K9" s="204">
        <v>2.5</v>
      </c>
    </row>
    <row r="10" spans="1:11" ht="45" x14ac:dyDescent="0.25">
      <c r="A10" s="187">
        <v>2</v>
      </c>
      <c r="B10" s="153"/>
      <c r="C10" s="29" t="s">
        <v>288</v>
      </c>
      <c r="D10" s="31" t="s">
        <v>328</v>
      </c>
      <c r="E10" s="31" t="s">
        <v>329</v>
      </c>
      <c r="F10" s="31" t="s">
        <v>330</v>
      </c>
      <c r="G10" s="31" t="s">
        <v>331</v>
      </c>
      <c r="H10" s="31" t="s">
        <v>331</v>
      </c>
      <c r="I10" s="164"/>
      <c r="J10" s="186"/>
      <c r="K10" s="204"/>
    </row>
    <row r="11" spans="1:11" ht="48" customHeight="1" x14ac:dyDescent="0.25">
      <c r="A11" s="187"/>
      <c r="B11" s="153"/>
      <c r="C11" s="68" t="s">
        <v>332</v>
      </c>
      <c r="D11" s="29" t="s">
        <v>98</v>
      </c>
      <c r="E11" s="29" t="s">
        <v>99</v>
      </c>
      <c r="F11" s="29" t="s">
        <v>100</v>
      </c>
      <c r="G11" s="29" t="s">
        <v>101</v>
      </c>
      <c r="H11" s="29" t="s">
        <v>289</v>
      </c>
      <c r="I11" s="75">
        <v>5</v>
      </c>
      <c r="J11" s="186"/>
      <c r="K11" s="61">
        <v>2.5</v>
      </c>
    </row>
    <row r="12" spans="1:11" ht="83.25" customHeight="1" x14ac:dyDescent="0.25">
      <c r="A12" s="187"/>
      <c r="B12" s="153"/>
      <c r="C12" s="29" t="s">
        <v>260</v>
      </c>
      <c r="D12" s="29" t="s">
        <v>290</v>
      </c>
      <c r="E12" s="31" t="s">
        <v>105</v>
      </c>
      <c r="F12" s="31" t="s">
        <v>106</v>
      </c>
      <c r="G12" s="31" t="s">
        <v>107</v>
      </c>
      <c r="H12" s="31" t="s">
        <v>291</v>
      </c>
      <c r="I12" s="75">
        <v>5</v>
      </c>
      <c r="J12" s="186"/>
      <c r="K12" s="61">
        <v>2.5</v>
      </c>
    </row>
    <row r="13" spans="1:11" ht="45" x14ac:dyDescent="0.25">
      <c r="A13" s="187"/>
      <c r="B13" s="153"/>
      <c r="C13" s="68" t="s">
        <v>261</v>
      </c>
      <c r="D13" s="29" t="s">
        <v>110</v>
      </c>
      <c r="E13" s="29" t="s">
        <v>111</v>
      </c>
      <c r="F13" s="29" t="s">
        <v>112</v>
      </c>
      <c r="G13" s="29" t="s">
        <v>113</v>
      </c>
      <c r="H13" s="29" t="s">
        <v>114</v>
      </c>
      <c r="I13" s="75">
        <v>5</v>
      </c>
      <c r="J13" s="186"/>
      <c r="K13" s="61">
        <v>2</v>
      </c>
    </row>
    <row r="14" spans="1:11" ht="83.25" customHeight="1" x14ac:dyDescent="0.25">
      <c r="A14" s="151">
        <v>3</v>
      </c>
      <c r="B14" s="153" t="s">
        <v>24</v>
      </c>
      <c r="C14" s="68" t="s">
        <v>115</v>
      </c>
      <c r="D14" s="29" t="s">
        <v>116</v>
      </c>
      <c r="E14" s="29" t="s">
        <v>292</v>
      </c>
      <c r="F14" s="29" t="s">
        <v>118</v>
      </c>
      <c r="G14" s="29" t="s">
        <v>119</v>
      </c>
      <c r="H14" s="29" t="s">
        <v>120</v>
      </c>
      <c r="I14" s="75">
        <v>5</v>
      </c>
      <c r="J14" s="186">
        <v>20</v>
      </c>
      <c r="K14" s="61">
        <v>3</v>
      </c>
    </row>
    <row r="15" spans="1:11" ht="62.25" customHeight="1" x14ac:dyDescent="0.25">
      <c r="A15" s="151"/>
      <c r="B15" s="153"/>
      <c r="C15" s="29" t="s">
        <v>334</v>
      </c>
      <c r="D15" s="29" t="s">
        <v>335</v>
      </c>
      <c r="E15" s="29" t="s">
        <v>336</v>
      </c>
      <c r="F15" s="29" t="s">
        <v>337</v>
      </c>
      <c r="G15" s="29" t="s">
        <v>333</v>
      </c>
      <c r="H15" s="29" t="s">
        <v>338</v>
      </c>
      <c r="I15" s="75">
        <v>5</v>
      </c>
      <c r="J15" s="186"/>
      <c r="K15" s="61">
        <v>2</v>
      </c>
    </row>
    <row r="16" spans="1:11" ht="75" x14ac:dyDescent="0.25">
      <c r="A16" s="151"/>
      <c r="B16" s="153"/>
      <c r="C16" s="68" t="s">
        <v>133</v>
      </c>
      <c r="D16" s="29" t="s">
        <v>134</v>
      </c>
      <c r="E16" s="29" t="s">
        <v>253</v>
      </c>
      <c r="F16" s="29" t="s">
        <v>254</v>
      </c>
      <c r="G16" s="29" t="s">
        <v>255</v>
      </c>
      <c r="H16" s="29" t="s">
        <v>256</v>
      </c>
      <c r="I16" s="75">
        <v>5</v>
      </c>
      <c r="J16" s="186"/>
      <c r="K16" s="61">
        <v>3</v>
      </c>
    </row>
    <row r="17" spans="1:11" ht="90" x14ac:dyDescent="0.25">
      <c r="A17" s="151"/>
      <c r="B17" s="153"/>
      <c r="C17" s="28" t="s">
        <v>293</v>
      </c>
      <c r="D17" s="29" t="s">
        <v>134</v>
      </c>
      <c r="E17" s="29" t="s">
        <v>135</v>
      </c>
      <c r="F17" s="29" t="s">
        <v>136</v>
      </c>
      <c r="G17" s="29" t="s">
        <v>137</v>
      </c>
      <c r="H17" s="29" t="s">
        <v>138</v>
      </c>
      <c r="I17" s="75">
        <v>5</v>
      </c>
      <c r="J17" s="186"/>
      <c r="K17" s="61">
        <v>2.5</v>
      </c>
    </row>
    <row r="18" spans="1:11" ht="105" customHeight="1" x14ac:dyDescent="0.25">
      <c r="A18" s="151">
        <v>4</v>
      </c>
      <c r="B18" s="153" t="s">
        <v>31</v>
      </c>
      <c r="C18" s="28" t="s">
        <v>140</v>
      </c>
      <c r="D18" s="29" t="s">
        <v>141</v>
      </c>
      <c r="E18" s="29" t="s">
        <v>294</v>
      </c>
      <c r="F18" s="29" t="s">
        <v>339</v>
      </c>
      <c r="G18" s="29" t="s">
        <v>340</v>
      </c>
      <c r="H18" s="29" t="s">
        <v>341</v>
      </c>
      <c r="I18" s="75">
        <v>5</v>
      </c>
      <c r="J18" s="186">
        <v>20</v>
      </c>
      <c r="K18" s="61">
        <v>2.5</v>
      </c>
    </row>
    <row r="19" spans="1:11" ht="91.5" customHeight="1" x14ac:dyDescent="0.25">
      <c r="A19" s="151"/>
      <c r="B19" s="153"/>
      <c r="C19" s="28" t="s">
        <v>146</v>
      </c>
      <c r="D19" s="29" t="s">
        <v>147</v>
      </c>
      <c r="E19" s="29" t="s">
        <v>148</v>
      </c>
      <c r="F19" s="29" t="s">
        <v>306</v>
      </c>
      <c r="G19" s="29" t="s">
        <v>307</v>
      </c>
      <c r="H19" s="29" t="s">
        <v>308</v>
      </c>
      <c r="I19" s="75">
        <v>5</v>
      </c>
      <c r="J19" s="186"/>
      <c r="K19" s="61">
        <v>3</v>
      </c>
    </row>
    <row r="20" spans="1:11" ht="88.5" customHeight="1" x14ac:dyDescent="0.25">
      <c r="A20" s="151"/>
      <c r="B20" s="153"/>
      <c r="C20" s="28" t="s">
        <v>152</v>
      </c>
      <c r="D20" s="29" t="s">
        <v>153</v>
      </c>
      <c r="E20" s="29" t="s">
        <v>154</v>
      </c>
      <c r="F20" s="29" t="s">
        <v>155</v>
      </c>
      <c r="G20" s="29" t="s">
        <v>156</v>
      </c>
      <c r="H20" s="29" t="s">
        <v>157</v>
      </c>
      <c r="I20" s="75">
        <v>5</v>
      </c>
      <c r="J20" s="186"/>
      <c r="K20" s="61">
        <v>3</v>
      </c>
    </row>
    <row r="21" spans="1:11" ht="90" x14ac:dyDescent="0.25">
      <c r="A21" s="151"/>
      <c r="B21" s="153"/>
      <c r="C21" s="28" t="s">
        <v>265</v>
      </c>
      <c r="D21" s="29" t="s">
        <v>159</v>
      </c>
      <c r="E21" s="29" t="s">
        <v>266</v>
      </c>
      <c r="F21" s="29" t="s">
        <v>267</v>
      </c>
      <c r="G21" s="29" t="s">
        <v>269</v>
      </c>
      <c r="H21" s="29" t="s">
        <v>270</v>
      </c>
      <c r="I21" s="75">
        <v>5</v>
      </c>
      <c r="J21" s="186"/>
      <c r="K21" s="61">
        <v>2.5</v>
      </c>
    </row>
    <row r="22" spans="1:11" ht="90" x14ac:dyDescent="0.25">
      <c r="A22" s="155">
        <v>5</v>
      </c>
      <c r="B22" s="156" t="s">
        <v>164</v>
      </c>
      <c r="C22" s="28" t="s">
        <v>165</v>
      </c>
      <c r="D22" s="31" t="s">
        <v>166</v>
      </c>
      <c r="E22" s="31" t="s">
        <v>167</v>
      </c>
      <c r="F22" s="31" t="s">
        <v>168</v>
      </c>
      <c r="G22" s="31" t="s">
        <v>268</v>
      </c>
      <c r="H22" s="31" t="s">
        <v>170</v>
      </c>
      <c r="I22" s="47">
        <v>5</v>
      </c>
      <c r="J22" s="186">
        <v>25</v>
      </c>
      <c r="K22" s="61">
        <v>2.5</v>
      </c>
    </row>
    <row r="23" spans="1:11" ht="117" customHeight="1" x14ac:dyDescent="0.25">
      <c r="A23" s="155"/>
      <c r="B23" s="156"/>
      <c r="C23" s="28" t="s">
        <v>171</v>
      </c>
      <c r="D23" s="31" t="s">
        <v>263</v>
      </c>
      <c r="E23" s="31" t="s">
        <v>264</v>
      </c>
      <c r="F23" s="31" t="s">
        <v>342</v>
      </c>
      <c r="G23" s="31" t="s">
        <v>343</v>
      </c>
      <c r="H23" s="31" t="s">
        <v>344</v>
      </c>
      <c r="I23" s="47">
        <v>5</v>
      </c>
      <c r="J23" s="186"/>
      <c r="K23" s="61">
        <v>4</v>
      </c>
    </row>
    <row r="24" spans="1:11" ht="120" customHeight="1" x14ac:dyDescent="0.25">
      <c r="A24" s="155"/>
      <c r="B24" s="156"/>
      <c r="C24" s="28" t="s">
        <v>177</v>
      </c>
      <c r="D24" s="31" t="s">
        <v>345</v>
      </c>
      <c r="E24" s="31" t="s">
        <v>346</v>
      </c>
      <c r="F24" s="31" t="s">
        <v>347</v>
      </c>
      <c r="G24" s="31" t="s">
        <v>348</v>
      </c>
      <c r="H24" s="31" t="s">
        <v>349</v>
      </c>
      <c r="I24" s="47">
        <v>5</v>
      </c>
      <c r="J24" s="186"/>
      <c r="K24" s="61">
        <v>3.5</v>
      </c>
    </row>
    <row r="25" spans="1:11" ht="90" x14ac:dyDescent="0.25">
      <c r="A25" s="155"/>
      <c r="B25" s="156"/>
      <c r="C25" s="70" t="s">
        <v>183</v>
      </c>
      <c r="D25" s="31" t="s">
        <v>184</v>
      </c>
      <c r="E25" s="31" t="s">
        <v>185</v>
      </c>
      <c r="F25" s="31" t="s">
        <v>186</v>
      </c>
      <c r="G25" s="31" t="s">
        <v>258</v>
      </c>
      <c r="H25" s="31" t="s">
        <v>259</v>
      </c>
      <c r="I25" s="47">
        <v>5</v>
      </c>
      <c r="J25" s="186"/>
      <c r="K25" s="61">
        <v>2.5</v>
      </c>
    </row>
    <row r="26" spans="1:11" ht="75" x14ac:dyDescent="0.25">
      <c r="A26" s="155"/>
      <c r="B26" s="156"/>
      <c r="C26" s="70" t="s">
        <v>262</v>
      </c>
      <c r="D26" s="31" t="s">
        <v>184</v>
      </c>
      <c r="E26" s="31" t="s">
        <v>190</v>
      </c>
      <c r="F26" s="31" t="s">
        <v>191</v>
      </c>
      <c r="G26" s="31" t="s">
        <v>192</v>
      </c>
      <c r="H26" s="31" t="s">
        <v>257</v>
      </c>
      <c r="I26" s="47">
        <v>5</v>
      </c>
      <c r="J26" s="186"/>
      <c r="K26" s="61">
        <v>2.5</v>
      </c>
    </row>
    <row r="27" spans="1:11" ht="105" x14ac:dyDescent="0.25">
      <c r="A27" s="77">
        <v>6</v>
      </c>
      <c r="B27" s="76" t="s">
        <v>246</v>
      </c>
      <c r="C27" s="28" t="s">
        <v>276</v>
      </c>
      <c r="D27" s="31" t="s">
        <v>275</v>
      </c>
      <c r="E27" s="31" t="s">
        <v>252</v>
      </c>
      <c r="F27" s="86" t="s">
        <v>351</v>
      </c>
      <c r="G27" s="87" t="s">
        <v>350</v>
      </c>
      <c r="H27" s="31" t="s">
        <v>274</v>
      </c>
      <c r="I27" s="47">
        <v>5</v>
      </c>
      <c r="J27" s="79">
        <v>5</v>
      </c>
      <c r="K27" s="61">
        <v>3</v>
      </c>
    </row>
    <row r="28" spans="1:11" ht="90.75" customHeight="1" x14ac:dyDescent="0.25">
      <c r="A28" s="151">
        <v>7</v>
      </c>
      <c r="B28" s="153" t="s">
        <v>52</v>
      </c>
      <c r="C28" s="28" t="s">
        <v>295</v>
      </c>
      <c r="D28" s="29" t="s">
        <v>318</v>
      </c>
      <c r="E28" s="29" t="s">
        <v>317</v>
      </c>
      <c r="F28" s="29" t="s">
        <v>316</v>
      </c>
      <c r="G28" s="29" t="s">
        <v>315</v>
      </c>
      <c r="H28" s="29" t="s">
        <v>314</v>
      </c>
      <c r="I28" s="75">
        <v>5</v>
      </c>
      <c r="J28" s="182">
        <v>20</v>
      </c>
      <c r="K28" s="61">
        <v>2.5</v>
      </c>
    </row>
    <row r="29" spans="1:11" ht="104.25" customHeight="1" x14ac:dyDescent="0.25">
      <c r="A29" s="151"/>
      <c r="B29" s="153"/>
      <c r="C29" s="28" t="s">
        <v>296</v>
      </c>
      <c r="D29" s="29" t="s">
        <v>313</v>
      </c>
      <c r="E29" s="29" t="s">
        <v>312</v>
      </c>
      <c r="F29" s="29" t="s">
        <v>311</v>
      </c>
      <c r="G29" s="29" t="s">
        <v>310</v>
      </c>
      <c r="H29" s="29" t="s">
        <v>309</v>
      </c>
      <c r="I29" s="75">
        <v>5</v>
      </c>
      <c r="J29" s="182"/>
      <c r="K29" s="61">
        <v>2</v>
      </c>
    </row>
    <row r="30" spans="1:11" ht="78" customHeight="1" x14ac:dyDescent="0.25">
      <c r="A30" s="151"/>
      <c r="B30" s="153"/>
      <c r="C30" s="28" t="s">
        <v>297</v>
      </c>
      <c r="D30" s="29" t="s">
        <v>354</v>
      </c>
      <c r="E30" s="29" t="s">
        <v>353</v>
      </c>
      <c r="F30" s="29" t="s">
        <v>352</v>
      </c>
      <c r="G30" s="29" t="s">
        <v>355</v>
      </c>
      <c r="H30" s="29" t="s">
        <v>356</v>
      </c>
      <c r="I30" s="75">
        <v>5</v>
      </c>
      <c r="J30" s="182"/>
      <c r="K30" s="61">
        <v>2.5</v>
      </c>
    </row>
    <row r="31" spans="1:11" ht="96.75" customHeight="1" x14ac:dyDescent="0.25">
      <c r="A31" s="151"/>
      <c r="B31" s="153"/>
      <c r="C31" s="28" t="s">
        <v>298</v>
      </c>
      <c r="D31" s="29" t="s">
        <v>221</v>
      </c>
      <c r="E31" s="29" t="s">
        <v>222</v>
      </c>
      <c r="F31" s="29" t="s">
        <v>223</v>
      </c>
      <c r="G31" s="29" t="s">
        <v>357</v>
      </c>
      <c r="H31" s="29" t="s">
        <v>358</v>
      </c>
      <c r="I31" s="75">
        <v>5</v>
      </c>
      <c r="J31" s="182"/>
      <c r="K31" s="61">
        <v>2</v>
      </c>
    </row>
    <row r="32" spans="1:11" ht="15.75" thickBot="1" x14ac:dyDescent="0.3">
      <c r="A32" s="80"/>
      <c r="B32" s="81"/>
      <c r="C32" s="82"/>
      <c r="D32" s="83"/>
      <c r="E32" s="83"/>
      <c r="F32" s="83"/>
      <c r="G32" s="83"/>
      <c r="H32" s="83"/>
      <c r="I32" s="84">
        <f>SUM(I6:I31)</f>
        <v>125</v>
      </c>
      <c r="J32" s="85">
        <f>SUM(J6:J31)</f>
        <v>125</v>
      </c>
      <c r="K32" s="88">
        <f>SUM(K6:K31)</f>
        <v>67</v>
      </c>
    </row>
    <row r="33" spans="1:14" ht="15.75" thickBot="1" x14ac:dyDescent="0.3">
      <c r="A33" s="189" t="s">
        <v>278</v>
      </c>
      <c r="B33" s="190"/>
      <c r="C33" s="190"/>
      <c r="D33" s="190"/>
      <c r="E33" s="190"/>
      <c r="F33" s="190"/>
      <c r="G33" s="190"/>
      <c r="H33" s="190"/>
      <c r="I33" s="190"/>
      <c r="J33" s="191"/>
      <c r="K33" s="89">
        <f>AVERAGE(K6:K31)</f>
        <v>2.68</v>
      </c>
    </row>
    <row r="34" spans="1:14" ht="34.5" thickBot="1" x14ac:dyDescent="0.55000000000000004">
      <c r="A34" s="71" t="s">
        <v>279</v>
      </c>
      <c r="B34" s="73" t="s">
        <v>280</v>
      </c>
      <c r="C34" s="98" t="s">
        <v>281</v>
      </c>
      <c r="D34" s="99"/>
      <c r="E34" s="99"/>
      <c r="F34" s="99"/>
      <c r="G34" s="100"/>
      <c r="H34" s="192" t="s">
        <v>284</v>
      </c>
      <c r="I34" s="193"/>
      <c r="J34" s="194"/>
      <c r="M34" s="91" t="s">
        <v>363</v>
      </c>
      <c r="N34" s="90">
        <f>AVERAGE(K6:K31)</f>
        <v>2.68</v>
      </c>
    </row>
    <row r="35" spans="1:14" ht="64.5" customHeight="1" x14ac:dyDescent="0.25">
      <c r="A35" s="71">
        <v>1</v>
      </c>
      <c r="B35" s="72" t="s">
        <v>359</v>
      </c>
      <c r="C35" s="195" t="s">
        <v>362</v>
      </c>
      <c r="D35" s="196"/>
      <c r="E35" s="196"/>
      <c r="F35" s="196"/>
      <c r="G35" s="197"/>
      <c r="H35" s="195" t="s">
        <v>361</v>
      </c>
      <c r="I35" s="196"/>
      <c r="J35" s="197"/>
    </row>
    <row r="36" spans="1:14" ht="84" customHeight="1" x14ac:dyDescent="0.25">
      <c r="A36" s="71">
        <v>2</v>
      </c>
      <c r="B36" s="72" t="s">
        <v>282</v>
      </c>
      <c r="C36" s="198"/>
      <c r="D36" s="199"/>
      <c r="E36" s="199"/>
      <c r="F36" s="199"/>
      <c r="G36" s="200"/>
      <c r="H36" s="198"/>
      <c r="I36" s="199"/>
      <c r="J36" s="200"/>
    </row>
    <row r="37" spans="1:14" ht="66" customHeight="1" x14ac:dyDescent="0.25">
      <c r="A37" s="71">
        <v>3</v>
      </c>
      <c r="B37" s="72" t="s">
        <v>283</v>
      </c>
      <c r="C37" s="201"/>
      <c r="D37" s="202"/>
      <c r="E37" s="202"/>
      <c r="F37" s="202"/>
      <c r="G37" s="203"/>
      <c r="H37" s="201"/>
      <c r="I37" s="202"/>
      <c r="J37" s="203"/>
    </row>
    <row r="38" spans="1:14" ht="53.25" customHeight="1" x14ac:dyDescent="0.25"/>
  </sheetData>
  <mergeCells count="39">
    <mergeCell ref="K9:K10"/>
    <mergeCell ref="C2:D2"/>
    <mergeCell ref="C3:D3"/>
    <mergeCell ref="C1:J1"/>
    <mergeCell ref="H2:J2"/>
    <mergeCell ref="H3:J3"/>
    <mergeCell ref="G2:G3"/>
    <mergeCell ref="E2:F2"/>
    <mergeCell ref="E3:F3"/>
    <mergeCell ref="A1:B3"/>
    <mergeCell ref="A33:J33"/>
    <mergeCell ref="C34:G34"/>
    <mergeCell ref="H34:J34"/>
    <mergeCell ref="C35:G37"/>
    <mergeCell ref="H35:J37"/>
    <mergeCell ref="A28:A31"/>
    <mergeCell ref="B28:B31"/>
    <mergeCell ref="A18:A21"/>
    <mergeCell ref="B18:B21"/>
    <mergeCell ref="A22:A26"/>
    <mergeCell ref="B22:B26"/>
    <mergeCell ref="A9:A13"/>
    <mergeCell ref="B9:B13"/>
    <mergeCell ref="I9:I10"/>
    <mergeCell ref="A14:A17"/>
    <mergeCell ref="A4:A5"/>
    <mergeCell ref="B4:B5"/>
    <mergeCell ref="C4:C5"/>
    <mergeCell ref="I6:I7"/>
    <mergeCell ref="A6:A8"/>
    <mergeCell ref="J28:J31"/>
    <mergeCell ref="D4:J4"/>
    <mergeCell ref="B6:B8"/>
    <mergeCell ref="J6:J8"/>
    <mergeCell ref="J9:J13"/>
    <mergeCell ref="J14:J17"/>
    <mergeCell ref="J18:J21"/>
    <mergeCell ref="J22:J26"/>
    <mergeCell ref="B14:B17"/>
  </mergeCells>
  <pageMargins left="0.31496062992125984" right="0.23622047244094491" top="0.35433070866141736" bottom="0.27559055118110237" header="0.31496062992125984" footer="0.31496062992125984"/>
  <pageSetup paperSize="9" scale="68"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Sreelakshmy Menon</cp:lastModifiedBy>
  <cp:lastPrinted>2026-01-13T07:57:07Z</cp:lastPrinted>
  <dcterms:created xsi:type="dcterms:W3CDTF">2025-10-25T09:43:11Z</dcterms:created>
  <dcterms:modified xsi:type="dcterms:W3CDTF">2026-03-06T06:43:16Z</dcterms:modified>
</cp:coreProperties>
</file>