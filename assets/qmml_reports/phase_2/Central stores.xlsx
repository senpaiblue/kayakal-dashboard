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QMM\Feb'26 Assessment\"/>
    </mc:Choice>
  </mc:AlternateContent>
  <bookViews>
    <workbookView xWindow="0" yWindow="0" windowWidth="28680" windowHeight="12240" activeTab="2"/>
  </bookViews>
  <sheets>
    <sheet name="QMML AUDIT CHECKLIST" sheetId="1" r:id="rId1"/>
    <sheet name="WORKING SHEET FOR QMML" sheetId="2" state="hidden" r:id="rId2"/>
    <sheet name="Revised Working sheet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'Revised Working sheet'!$A$4:$J$31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'Revised Working sheet'!$4:$5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32" i="3" l="1"/>
  <c r="I35" i="2" l="1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<sst xmlns="http://schemas.openxmlformats.org/spreadsheetml/2006/main" count="458" uniqueCount="361">
  <si>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</si>
  <si>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</si>
  <si>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</si>
  <si>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</si>
  <si>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</si>
  <si>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</si>
  <si>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</si>
  <si>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</si>
  <si>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</si>
  <si>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</si>
  <si>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</si>
  <si>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</si>
  <si>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</si>
  <si>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</si>
  <si>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</si>
  <si>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</si>
  <si>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</si>
  <si>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</si>
  <si>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</si>
  <si>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</si>
  <si>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</si>
  <si>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</si>
  <si>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</si>
  <si>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</si>
  <si>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</si>
  <si>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</si>
  <si>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</si>
  <si>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</si>
  <si>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</si>
  <si>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</si>
  <si>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</si>
  <si>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</si>
  <si>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</si>
  <si>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</si>
  <si>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</si>
  <si>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</si>
  <si>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</si>
  <si>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</si>
  <si>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</si>
  <si>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</si>
  <si>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</si>
  <si>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</si>
  <si>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</si>
  <si>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</si>
  <si>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</si>
  <si>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</si>
  <si>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</si>
  <si>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</si>
  <si>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</si>
  <si>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</si>
  <si>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</si>
  <si>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</si>
  <si>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</si>
  <si>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</si>
  <si>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</si>
  <si>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</si>
  <si>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</si>
  <si>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</si>
  <si>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</si>
  <si>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</si>
  <si>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</si>
  <si>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</si>
  <si>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</si>
  <si>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</si>
  <si>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</si>
  <si>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</si>
  <si>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</si>
  <si>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</si>
  <si>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</si>
  <si>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</si>
  <si>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</si>
  <si>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</si>
  <si>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</si>
  <si>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</si>
  <si>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</si>
  <si>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</si>
  <si>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</si>
  <si>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</si>
  <si>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</si>
  <si>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</si>
  <si>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</si>
  <si>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</si>
  <si>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</si>
  <si>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</si>
  <si>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</si>
  <si>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</si>
  <si>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</si>
  <si>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</si>
  <si>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</si>
  <si>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</si>
  <si>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</si>
  <si>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</si>
  <si>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</si>
  <si>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</si>
  <si>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</si>
  <si>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</si>
  <si>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</si>
  <si>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</si>
  <si>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</si>
  <si>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</si>
  <si>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</si>
  <si>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</si>
  <si>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</si>
  <si>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</si>
  <si>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</si>
  <si>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</si>
  <si>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</si>
  <si>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</si>
  <si>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</si>
  <si>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</si>
  <si>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</si>
  <si>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</si>
  <si>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</si>
  <si>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</si>
  <si>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</si>
  <si>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</si>
  <si>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</si>
  <si>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</si>
  <si>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</si>
  <si>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</si>
  <si>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</si>
  <si>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</si>
  <si>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</si>
  <si>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</si>
  <si>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</si>
  <si>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</si>
  <si>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</si>
  <si>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</si>
  <si>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</si>
  <si>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</si>
  <si>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</si>
  <si>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</si>
  <si>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</si>
  <si>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</si>
  <si>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</si>
  <si>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</si>
  <si>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</si>
  <si>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</si>
  <si>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</si>
  <si>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</si>
  <si>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</si>
  <si>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</si>
  <si>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</si>
  <si>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</si>
  <si>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</si>
  <si>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</si>
  <si>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</si>
  <si>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</si>
  <si>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</si>
  <si>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</si>
  <si>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</si>
  <si>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</si>
  <si>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</si>
  <si>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</si>
  <si>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</si>
  <si>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</si>
  <si>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</si>
  <si>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</si>
  <si>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</si>
  <si>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</si>
  <si>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</si>
  <si>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</si>
  <si>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</si>
  <si>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</si>
  <si>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</si>
  <si>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</si>
  <si>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</si>
  <si>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</si>
  <si>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</si>
  <si>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</si>
  <si>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</si>
  <si>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</si>
  <si>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</si>
  <si>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</si>
  <si>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</si>
  <si>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</si>
  <si>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</si>
  <si>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</si>
  <si>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</si>
  <si>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</si>
  <si>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</si>
  <si>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</si>
  <si>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</si>
  <si>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</si>
  <si>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</si>
  <si>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</si>
  <si>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</si>
  <si>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</si>
  <si>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</si>
  <si>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</si>
  <si>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</si>
  <si>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</si>
  <si>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</si>
  <si>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</si>
  <si>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</si>
  <si>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</si>
  <si>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</si>
  <si>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</si>
  <si>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</si>
  <si>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</si>
  <si>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</si>
  <si>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</si>
  <si>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</si>
  <si>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</si>
  <si>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</si>
  <si>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</si>
  <si>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</si>
  <si>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</si>
  <si>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</si>
  <si>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</si>
  <si>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</si>
  <si>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</si>
  <si>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</si>
  <si>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</si>
  <si>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</si>
  <si>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</si>
  <si>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</si>
  <si>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</si>
  <si>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</si>
  <si>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</si>
  <si>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</si>
  <si>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</si>
  <si>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</si>
  <si>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</si>
  <si>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</si>
  <si>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</si>
  <si>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</si>
  <si>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</si>
  <si>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</si>
  <si>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</si>
  <si>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</si>
  <si>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</si>
  <si>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</si>
  <si>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</si>
  <si>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</si>
  <si>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</si>
  <si>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</si>
  <si>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</si>
  <si>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</si>
  <si>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</si>
  <si>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</si>
  <si>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</si>
  <si>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</si>
  <si>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</si>
  <si>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</si>
  <si>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</si>
  <si>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</si>
  <si>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</si>
  <si>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</si>
  <si>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</si>
  <si>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</si>
  <si>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</si>
  <si>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</si>
  <si>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</si>
  <si>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</si>
  <si>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</si>
  <si>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</si>
  <si>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</si>
  <si>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</si>
  <si>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</si>
  <si>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</si>
  <si>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</si>
  <si>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</si>
  <si>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</si>
  <si>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</si>
  <si>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</si>
  <si>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</si>
  <si>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</si>
  <si>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</si>
  <si>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</si>
  <si>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</si>
  <si>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</si>
  <si>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</si>
  <si>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</si>
  <si>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</si>
  <si>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</si>
  <si>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</si>
  <si>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</si>
  <si>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</si>
  <si>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</si>
  <si>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</si>
  <si>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</si>
  <si>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</si>
  <si>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</si>
  <si>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</si>
  <si>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</si>
  <si>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</si>
  <si>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</si>
  <si>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</si>
  <si>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</si>
  <si>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</si>
  <si>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</si>
  <si>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</si>
  <si>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</si>
  <si>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</si>
  <si>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</si>
  <si>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</si>
  <si>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</si>
  <si>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</si>
  <si>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</si>
  <si>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</si>
  <si>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</si>
  <si>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</si>
  <si>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Rev Date: 04/02/2026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</si>
  <si>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</si>
  <si>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</si>
  <si>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</si>
  <si>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</si>
  <si>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</si>
  <si>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</si>
  <si>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</si>
  <si>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</si>
  <si>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</si>
  <si>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</si>
  <si>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</si>
  <si>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</si>
  <si>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</si>
  <si>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</si>
  <si>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</si>
  <si>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</si>
  <si>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</si>
  <si>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</si>
  <si>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</si>
  <si>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</si>
  <si>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</si>
  <si>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</si>
  <si>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</si>
  <si>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</si>
  <si>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</si>
  <si>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</si>
  <si>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</si>
  <si>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</si>
  <si>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</si>
  <si>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</si>
  <si>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</si>
  <si>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</si>
  <si>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</si>
  <si>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</si>
  <si>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</si>
  <si>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</si>
  <si>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</si>
  <si>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</si>
  <si>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</si>
  <si>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</si>
  <si>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</si>
  <si>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</si>
  <si>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</si>
  <si>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</si>
  <si>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</si>
  <si>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</si>
  <si>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</si>
  <si>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</si>
  <si>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</si>
  <si>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</si>
  <si>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</si>
  <si>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</si>
  <si>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r>
      <t xml:space="preserve">ICS-90% achieved
</t>
    </r>
    <r>
      <rPr>
        <sz val="11"/>
        <color rgb="FFFF0000"/>
        <rFont val="Calibri"/>
        <family val="2"/>
        <scheme val="minor"/>
      </rPr>
      <t xml:space="preserve">Zero QFFin last month </t>
    </r>
  </si>
  <si>
    <t>Department: Central Stores</t>
  </si>
  <si>
    <t>Section: Stores</t>
  </si>
  <si>
    <t>Auditee: Stores Team</t>
  </si>
  <si>
    <t>Auditor: Rehana Sultana, Sreelakshmy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</si>
</sst>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69" xfId="0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0" fillId="0" borderId="56" xfId="0" applyFill="1" applyBorder="1" applyAlignment="1">
      <alignment wrapText="1"/>
    </xf>
    <xf numFmtId="2" fontId="0" fillId="0" borderId="56" xfId="0" applyNumberFormat="1" applyFill="1" applyBorder="1" applyAlignment="1">
      <alignment horizontal="center" vertical="center"/>
    </xf>
    <xf numFmtId="0" fontId="0" fillId="3" borderId="43" xfId="0" applyFill="1" applyBorder="1" applyAlignment="1">
      <alignment horizontal="left" vertical="center" wrapText="1"/>
    </xf>
    <xf numFmtId="0" fontId="0" fillId="6" borderId="4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  <sheetName val="JISC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  <sheetName val="RM_CONSUMPTION21"/>
      <sheetName val="RM_Stock21"/>
      <sheetName val="LC_Opening_&amp;_Cash_Flow21"/>
      <sheetName val="LC_summary_&amp;_WC_interest21"/>
      <sheetName val="w_oh21"/>
      <sheetName val="Sales_summary21"/>
      <sheetName val="Profit_Final21"/>
      <sheetName val="Profit_with_trial_run)21"/>
      <sheetName val="Month_Outlook21"/>
      <sheetName val="DRI_stock_balncing21"/>
      <sheetName val="HM_Plan_Entry21"/>
      <sheetName val="SMS_Entry21"/>
      <sheetName val="Mills_Entry21"/>
      <sheetName val="AGG_entry21"/>
      <sheetName val="HM-SMS_Plan_&amp;_Actual21"/>
      <sheetName val="Plan_vs_Actual21"/>
      <sheetName val="AGG_PLAN_VS_actual21"/>
      <sheetName val="Mills_Plan_&amp;_Actual21"/>
      <sheetName val="Paste_frm_MP_sheet(Plan_vs_ac21"/>
      <sheetName val="Title_Page20"/>
      <sheetName val="RM_CONSUMPTION22"/>
      <sheetName val="RM_Stock22"/>
      <sheetName val="LC_Opening_&amp;_Cash_Flow22"/>
      <sheetName val="LC_summary_&amp;_WC_interest22"/>
      <sheetName val="w_oh22"/>
      <sheetName val="Sales_summary22"/>
      <sheetName val="Profit_Final22"/>
      <sheetName val="Profit_with_trial_run)22"/>
      <sheetName val="Month_Outlook22"/>
      <sheetName val="DRI_stock_balncing22"/>
      <sheetName val="HM_Plan_Entry22"/>
      <sheetName val="SMS_Entry22"/>
      <sheetName val="Mills_Entry22"/>
      <sheetName val="AGG_entry22"/>
      <sheetName val="HM-SMS_Plan_&amp;_Actual22"/>
      <sheetName val="Plan_vs_Actual22"/>
      <sheetName val="AGG_PLAN_VS_actual22"/>
      <sheetName val="Mills_Plan_&amp;_Actual22"/>
      <sheetName val="Paste_frm_MP_sheet(Plan_vs_ac22"/>
      <sheetName val="Title_Page21"/>
      <sheetName val="RM_CONSUMPTION23"/>
      <sheetName val="RM_Stock23"/>
      <sheetName val="LC_Opening_&amp;_Cash_Flow23"/>
      <sheetName val="LC_summary_&amp;_WC_interest23"/>
      <sheetName val="w_oh23"/>
      <sheetName val="Sales_summary23"/>
      <sheetName val="Profit_Final23"/>
      <sheetName val="Profit_with_trial_run)23"/>
      <sheetName val="Month_Outlook23"/>
      <sheetName val="DRI_stock_balncing23"/>
      <sheetName val="HM_Plan_Entry23"/>
      <sheetName val="SMS_Entry23"/>
      <sheetName val="Mills_Entry23"/>
      <sheetName val="AGG_entry23"/>
      <sheetName val="HM-SMS_Plan_&amp;_Actual23"/>
      <sheetName val="Plan_vs_Actual23"/>
      <sheetName val="AGG_PLAN_VS_actual23"/>
      <sheetName val="Mills_Plan_&amp;_Actual23"/>
      <sheetName val="Paste_frm_MP_sheet(Plan_vs_ac23"/>
      <sheetName val="Title_Page22"/>
      <sheetName val="RM_CONSUMPTION25"/>
      <sheetName val="RM_Stock25"/>
      <sheetName val="LC_Opening_&amp;_Cash_Flow25"/>
      <sheetName val="LC_summary_&amp;_WC_interest25"/>
      <sheetName val="w_oh25"/>
      <sheetName val="Sales_summary25"/>
      <sheetName val="Profit_Final25"/>
      <sheetName val="Profit_with_trial_run)25"/>
      <sheetName val="Month_Outlook25"/>
      <sheetName val="DRI_stock_balncing25"/>
      <sheetName val="HM_Plan_Entry25"/>
      <sheetName val="SMS_Entry25"/>
      <sheetName val="Mills_Entry25"/>
      <sheetName val="AGG_entry25"/>
      <sheetName val="HM-SMS_Plan_&amp;_Actual25"/>
      <sheetName val="Plan_vs_Actual25"/>
      <sheetName val="AGG_PLAN_VS_actual25"/>
      <sheetName val="Mills_Plan_&amp;_Actual25"/>
      <sheetName val="Paste_frm_MP_sheet(Plan_vs_ac25"/>
      <sheetName val="Title_Page24"/>
      <sheetName val="RM_CONSUMPTION24"/>
      <sheetName val="RM_Stock24"/>
      <sheetName val="LC_Opening_&amp;_Cash_Flow24"/>
      <sheetName val="LC_summary_&amp;_WC_interest24"/>
      <sheetName val="w_oh24"/>
      <sheetName val="Sales_summary24"/>
      <sheetName val="Profit_Final24"/>
      <sheetName val="Profit_with_trial_run)24"/>
      <sheetName val="Month_Outlook24"/>
      <sheetName val="DRI_stock_balncing24"/>
      <sheetName val="HM_Plan_Entry24"/>
      <sheetName val="SMS_Entry24"/>
      <sheetName val="Mills_Entry24"/>
      <sheetName val="AGG_entry24"/>
      <sheetName val="HM-SMS_Plan_&amp;_Actual24"/>
      <sheetName val="Plan_vs_Actual24"/>
      <sheetName val="AGG_PLAN_VS_actual24"/>
      <sheetName val="Mills_Plan_&amp;_Actual24"/>
      <sheetName val="Paste_frm_MP_sheet(Plan_vs_ac24"/>
      <sheetName val="Title_Page23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  <sheetName val="Sensitive Analysis"/>
      <sheetName val="P&amp;L February"/>
      <sheetName val="P&amp;L Feb 2001 cumulative"/>
      <sheetName val="DAILY_REP28"/>
      <sheetName val="DELAREA_28"/>
      <sheetName val="Org_Chart28"/>
      <sheetName val="ADAMYA_FINAL_SHEET27"/>
      <sheetName val="Int_-_Cum0227"/>
      <sheetName val="R_MTL22"/>
      <sheetName val="Ins_Erection22"/>
      <sheetName val="Other_Notes22"/>
      <sheetName val="Reff_121"/>
      <sheetName val="pack_pnl-9920"/>
      <sheetName val="Meta_data20"/>
      <sheetName val="os_gl_ac19"/>
      <sheetName val="Input_Master7"/>
      <sheetName val="SALES_SUMMARY7"/>
      <sheetName val="DAILY_REP29"/>
      <sheetName val="DELAREA_29"/>
      <sheetName val="Org_Chart29"/>
      <sheetName val="ADAMYA_FINAL_SHEET28"/>
      <sheetName val="Int_-_Cum0228"/>
      <sheetName val="R_MTL23"/>
      <sheetName val="Ins_Erection23"/>
      <sheetName val="Other_Notes23"/>
      <sheetName val="Reff_122"/>
      <sheetName val="pack_pnl-9921"/>
      <sheetName val="Meta_data21"/>
      <sheetName val="os_gl_ac20"/>
      <sheetName val="Input_Master8"/>
      <sheetName val="SALES_SUMMARY8"/>
      <sheetName val="DAILY_REP30"/>
      <sheetName val="DELAREA_30"/>
      <sheetName val="Org_Chart30"/>
      <sheetName val="ADAMYA_FINAL_SHEET29"/>
      <sheetName val="Int_-_Cum0229"/>
      <sheetName val="R_MTL24"/>
      <sheetName val="Ins_Erection24"/>
      <sheetName val="Other_Notes24"/>
      <sheetName val="Reff_123"/>
      <sheetName val="pack_pnl-9922"/>
      <sheetName val="Meta_data22"/>
      <sheetName val="os_gl_ac21"/>
      <sheetName val="Input_Master9"/>
      <sheetName val="SALES_SUMMARY9"/>
      <sheetName val="DAILY_REP32"/>
      <sheetName val="DELAREA_32"/>
      <sheetName val="Org_Chart32"/>
      <sheetName val="ADAMYA_FINAL_SHEET31"/>
      <sheetName val="Int_-_Cum0231"/>
      <sheetName val="R_MTL26"/>
      <sheetName val="Ins_Erection26"/>
      <sheetName val="Other_Notes26"/>
      <sheetName val="Reff_125"/>
      <sheetName val="pack_pnl-9924"/>
      <sheetName val="Meta_data24"/>
      <sheetName val="os_gl_ac23"/>
      <sheetName val="Input_Master11"/>
      <sheetName val="SALES_SUMMARY11"/>
      <sheetName val="DAILY_REP31"/>
      <sheetName val="DELAREA_31"/>
      <sheetName val="Org_Chart31"/>
      <sheetName val="ADAMYA_FINAL_SHEET30"/>
      <sheetName val="Int_-_Cum0230"/>
      <sheetName val="R_MTL25"/>
      <sheetName val="Ins_Erection25"/>
      <sheetName val="Other_Notes25"/>
      <sheetName val="Reff_124"/>
      <sheetName val="pack_pnl-9923"/>
      <sheetName val="Meta_data23"/>
      <sheetName val="os_gl_ac22"/>
      <sheetName val="Input_Master10"/>
      <sheetName val="SALES_SUMMARY10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  <sheetName val="Int_-_Cum0224"/>
      <sheetName val="DAILY_REPORT22"/>
      <sheetName val="labour_coeff21"/>
      <sheetName val="Sales_by_Month20"/>
      <sheetName val="SALES_SUMMARY7"/>
      <sheetName val="Int_-_Cum0225"/>
      <sheetName val="DAILY_REPORT23"/>
      <sheetName val="labour_coeff22"/>
      <sheetName val="Sales_by_Month21"/>
      <sheetName val="SALES_SUMMARY8"/>
      <sheetName val="Int_-_Cum0226"/>
      <sheetName val="DAILY_REPORT24"/>
      <sheetName val="labour_coeff23"/>
      <sheetName val="Sales_by_Month22"/>
      <sheetName val="SALES_SUMMARY9"/>
      <sheetName val="Int_-_Cum0228"/>
      <sheetName val="DAILY_REPORT26"/>
      <sheetName val="labour_coeff25"/>
      <sheetName val="Sales_by_Month24"/>
      <sheetName val="SALES_SUMMARY11"/>
      <sheetName val="Int_-_Cum0227"/>
      <sheetName val="DAILY_REPORT25"/>
      <sheetName val="labour_coeff24"/>
      <sheetName val="Sales_by_Month23"/>
      <sheetName val="SALES_SUMMARY10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  <sheetName val="Profit-Reco_1"/>
      <sheetName val="Meltshop_Consump"/>
      <sheetName val="Assumptions"/>
      <sheetName val="EMPMAST"/>
      <sheetName val="MM1"/>
      <sheetName val="Profit-Reco_2"/>
      <sheetName val="Meltshop_Consump1"/>
      <sheetName val="Profit-Reco_3"/>
      <sheetName val="Meltshop_Consump2"/>
      <sheetName val="Profit-Reco_4"/>
      <sheetName val="Meltshop_Consump3"/>
      <sheetName val="Profit-Reco_5"/>
      <sheetName val="Meltshop_Consump4"/>
      <sheetName val="Profit-Reco_6"/>
      <sheetName val="Meltshop_Consump5"/>
      <sheetName val="Profit-Reco_7"/>
      <sheetName val="Meltshop_Consump6"/>
      <sheetName val="Profit-Reco_8"/>
      <sheetName val="Meltshop_Consump7"/>
      <sheetName val="Profit-Reco_9"/>
      <sheetName val="Meltshop_Consump8"/>
      <sheetName val="Profit-Reco_10"/>
      <sheetName val="Meltshop_Consump9"/>
      <sheetName val="Profit-Reco_11"/>
      <sheetName val="Meltshop_Consump10"/>
      <sheetName val="Profit-Reco_12"/>
      <sheetName val="Meltshop_Consump11"/>
      <sheetName val="Profit-Reco_13"/>
      <sheetName val="Meltshop_Consump12"/>
      <sheetName val="Profit-Reco_15"/>
      <sheetName val="Meltshop_Consump14"/>
      <sheetName val="Profit-Reco_14"/>
      <sheetName val="Meltshop_Consump13"/>
      <sheetName val="Profit-Reco_16"/>
      <sheetName val="Meltshop_Consump15"/>
      <sheetName val="Profit-Reco_18"/>
      <sheetName val="Meltshop_Consump17"/>
      <sheetName val="Profit-Reco_17"/>
      <sheetName val="Meltshop_Consump16"/>
      <sheetName val="CRM Data"/>
      <sheetName val="Daily_Diver"/>
      <sheetName val="GPDATA"/>
      <sheetName val="FORMAT"/>
      <sheetName val="Exp"/>
      <sheetName val="ADAMYA FINAL SHEET"/>
      <sheetName val="Structure"/>
      <sheetName val="logfeb"/>
      <sheetName val="Profit-Reco_19"/>
      <sheetName val="Meltshop_Consump18"/>
      <sheetName val="Profit-Reco_20"/>
      <sheetName val="Meltshop_Consump19"/>
      <sheetName val="Profit-Reco_21"/>
      <sheetName val="Meltshop_Consump20"/>
      <sheetName val="Profit-Reco_23"/>
      <sheetName val="Meltshop_Consump22"/>
      <sheetName val="Profit-Reco_22"/>
      <sheetName val="Meltshop_Consump21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  <sheetName val="Amortization Table"/>
      <sheetName val="ON_LINE28"/>
      <sheetName val="Bar_chrt28"/>
      <sheetName val="DEbt_(2)28"/>
      <sheetName val="UB-3-Break_up22"/>
      <sheetName val="Hot_Metal22"/>
      <sheetName val="Basic_data21"/>
      <sheetName val="NOA_Data20"/>
      <sheetName val="Exim_FCL20"/>
      <sheetName val="Different_Dates20"/>
      <sheetName val="os_liabilities_analysis19"/>
      <sheetName val="fixed_deposit_details7"/>
      <sheetName val="CRM_Data7"/>
      <sheetName val="ON_LINE29"/>
      <sheetName val="Bar_chrt29"/>
      <sheetName val="DEbt_(2)29"/>
      <sheetName val="UB-3-Break_up23"/>
      <sheetName val="Hot_Metal23"/>
      <sheetName val="Basic_data22"/>
      <sheetName val="NOA_Data21"/>
      <sheetName val="Exim_FCL21"/>
      <sheetName val="Different_Dates21"/>
      <sheetName val="os_liabilities_analysis20"/>
      <sheetName val="fixed_deposit_details8"/>
      <sheetName val="CRM_Data8"/>
      <sheetName val="ON_LINE30"/>
      <sheetName val="Bar_chrt30"/>
      <sheetName val="DEbt_(2)30"/>
      <sheetName val="UB-3-Break_up24"/>
      <sheetName val="Hot_Metal24"/>
      <sheetName val="Basic_data23"/>
      <sheetName val="NOA_Data22"/>
      <sheetName val="Exim_FCL22"/>
      <sheetName val="Different_Dates22"/>
      <sheetName val="os_liabilities_analysis21"/>
      <sheetName val="fixed_deposit_details9"/>
      <sheetName val="CRM_Data9"/>
      <sheetName val="ON_LINE32"/>
      <sheetName val="Bar_chrt32"/>
      <sheetName val="DEbt_(2)32"/>
      <sheetName val="UB-3-Break_up26"/>
      <sheetName val="Hot_Metal26"/>
      <sheetName val="Basic_data25"/>
      <sheetName val="NOA_Data24"/>
      <sheetName val="Exim_FCL24"/>
      <sheetName val="Different_Dates24"/>
      <sheetName val="os_liabilities_analysis23"/>
      <sheetName val="fixed_deposit_details11"/>
      <sheetName val="CRM_Data11"/>
      <sheetName val="ON_LINE31"/>
      <sheetName val="Bar_chrt31"/>
      <sheetName val="DEbt_(2)31"/>
      <sheetName val="UB-3-Break_up25"/>
      <sheetName val="Hot_Metal25"/>
      <sheetName val="Basic_data24"/>
      <sheetName val="NOA_Data23"/>
      <sheetName val="Exim_FCL23"/>
      <sheetName val="Different_Dates23"/>
      <sheetName val="os_liabilities_analysis22"/>
      <sheetName val="fixed_deposit_details10"/>
      <sheetName val="CRM_Data10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  <sheetName val="os liabilities analysis"/>
      <sheetName val="DAILY_REP25"/>
      <sheetName val="JSW_ISPAT_Acceptance_status24"/>
      <sheetName val="JSW_ISPAT_payment24"/>
      <sheetName val="cwip_wm_822"/>
      <sheetName val="SALES_SUMMARY21"/>
      <sheetName val="Rev_19"/>
      <sheetName val="KBI_Input7"/>
      <sheetName val="Invested_capital_VDF7"/>
      <sheetName val="SCH_107"/>
      <sheetName val="CRM_Data7"/>
      <sheetName val="gain_loss4"/>
      <sheetName val="DAILY_REP26"/>
      <sheetName val="JSW_ISPAT_Acceptance_status25"/>
      <sheetName val="JSW_ISPAT_payment25"/>
      <sheetName val="cwip_wm_823"/>
      <sheetName val="SALES_SUMMARY22"/>
      <sheetName val="Rev_20"/>
      <sheetName val="KBI_Input8"/>
      <sheetName val="Invested_capital_VDF8"/>
      <sheetName val="SCH_108"/>
      <sheetName val="CRM_Data8"/>
      <sheetName val="gain_loss5"/>
      <sheetName val="DAILY_REP27"/>
      <sheetName val="JSW_ISPAT_Acceptance_status26"/>
      <sheetName val="JSW_ISPAT_payment26"/>
      <sheetName val="cwip_wm_824"/>
      <sheetName val="SALES_SUMMARY23"/>
      <sheetName val="Rev_21"/>
      <sheetName val="KBI_Input9"/>
      <sheetName val="Invested_capital_VDF9"/>
      <sheetName val="SCH_109"/>
      <sheetName val="CRM_Data9"/>
      <sheetName val="gain_loss6"/>
      <sheetName val="DAILY_REP29"/>
      <sheetName val="JSW_ISPAT_Acceptance_status28"/>
      <sheetName val="JSW_ISPAT_payment28"/>
      <sheetName val="cwip_wm_826"/>
      <sheetName val="SALES_SUMMARY25"/>
      <sheetName val="Rev_23"/>
      <sheetName val="KBI_Input11"/>
      <sheetName val="Invested_capital_VDF11"/>
      <sheetName val="SCH_1011"/>
      <sheetName val="CRM_Data11"/>
      <sheetName val="gain_loss8"/>
      <sheetName val="DAILY_REP28"/>
      <sheetName val="JSW_ISPAT_Acceptance_status27"/>
      <sheetName val="JSW_ISPAT_payment27"/>
      <sheetName val="cwip_wm_825"/>
      <sheetName val="SALES_SUMMARY24"/>
      <sheetName val="Rev_22"/>
      <sheetName val="KBI_Input10"/>
      <sheetName val="Invested_capital_VDF10"/>
      <sheetName val="SCH_1010"/>
      <sheetName val="CRM_Data10"/>
      <sheetName val="gain_loss7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  <sheetName val="Rev Rates"/>
      <sheetName val="DQR data Backup file"/>
      <sheetName val="NCO_MTD"/>
      <sheetName val="Cumulative_Production28"/>
      <sheetName val="%_Prime28"/>
      <sheetName val="Yield_Util28"/>
      <sheetName val="CGL-1_UTL23"/>
      <sheetName val="CGL-2_UTL23"/>
      <sheetName val="LA-_lookups22"/>
      <sheetName val="Other_assumptions22"/>
      <sheetName val="Int__workings22"/>
      <sheetName val="cwip_wm_822"/>
      <sheetName val="HSM1_NCO22"/>
      <sheetName val="Fruit_-_Year_200621"/>
      <sheetName val="margin_21"/>
      <sheetName val="Common_CoA7"/>
      <sheetName val="List_of_Vendors7"/>
      <sheetName val="All_Trend4"/>
      <sheetName val="Cumulative_Production29"/>
      <sheetName val="%_Prime29"/>
      <sheetName val="Yield_Util29"/>
      <sheetName val="CGL-1_UTL24"/>
      <sheetName val="CGL-2_UTL24"/>
      <sheetName val="LA-_lookups23"/>
      <sheetName val="Other_assumptions23"/>
      <sheetName val="Int__workings23"/>
      <sheetName val="cwip_wm_823"/>
      <sheetName val="HSM1_NCO23"/>
      <sheetName val="Fruit_-_Year_200622"/>
      <sheetName val="margin_22"/>
      <sheetName val="Common_CoA8"/>
      <sheetName val="List_of_Vendors8"/>
      <sheetName val="All_Trend5"/>
      <sheetName val="Cumulative_Production30"/>
      <sheetName val="%_Prime30"/>
      <sheetName val="Yield_Util30"/>
      <sheetName val="CGL-1_UTL25"/>
      <sheetName val="CGL-2_UTL25"/>
      <sheetName val="LA-_lookups24"/>
      <sheetName val="Other_assumptions24"/>
      <sheetName val="Int__workings24"/>
      <sheetName val="cwip_wm_824"/>
      <sheetName val="HSM1_NCO24"/>
      <sheetName val="Fruit_-_Year_200623"/>
      <sheetName val="margin_23"/>
      <sheetName val="Common_CoA9"/>
      <sheetName val="List_of_Vendors9"/>
      <sheetName val="All_Trend6"/>
      <sheetName val="Cumulative_Production32"/>
      <sheetName val="%_Prime32"/>
      <sheetName val="Yield_Util32"/>
      <sheetName val="CGL-1_UTL27"/>
      <sheetName val="CGL-2_UTL27"/>
      <sheetName val="LA-_lookups26"/>
      <sheetName val="Other_assumptions26"/>
      <sheetName val="Int__workings26"/>
      <sheetName val="cwip_wm_826"/>
      <sheetName val="HSM1_NCO26"/>
      <sheetName val="Fruit_-_Year_200625"/>
      <sheetName val="margin_25"/>
      <sheetName val="Common_CoA11"/>
      <sheetName val="List_of_Vendors11"/>
      <sheetName val="All_Trend8"/>
      <sheetName val="Cumulative_Production31"/>
      <sheetName val="%_Prime31"/>
      <sheetName val="Yield_Util31"/>
      <sheetName val="CGL-1_UTL26"/>
      <sheetName val="CGL-2_UTL26"/>
      <sheetName val="LA-_lookups25"/>
      <sheetName val="Other_assumptions25"/>
      <sheetName val="Int__workings25"/>
      <sheetName val="cwip_wm_825"/>
      <sheetName val="HSM1_NCO25"/>
      <sheetName val="Fruit_-_Year_200624"/>
      <sheetName val="margin_24"/>
      <sheetName val="Common_CoA10"/>
      <sheetName val="List_of_Vendors10"/>
      <sheetName val="All_Trend7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 refreshError="1"/>
      <sheetData sheetId="349" refreshError="1"/>
      <sheetData sheetId="350" refreshError="1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  <sheetName val="CGL-1_UTL21"/>
      <sheetName val="CGL-2_UTL21"/>
      <sheetName val="PHY_STOCK_OF_AUG__0021"/>
      <sheetName val="DEbt_(2)7"/>
      <sheetName val="CGL-1_UTL22"/>
      <sheetName val="CGL-2_UTL22"/>
      <sheetName val="PHY_STOCK_OF_AUG__0022"/>
      <sheetName val="DEbt_(2)8"/>
      <sheetName val="CGL-1_UTL23"/>
      <sheetName val="CGL-2_UTL23"/>
      <sheetName val="PHY_STOCK_OF_AUG__0023"/>
      <sheetName val="DEbt_(2)9"/>
      <sheetName val="CGL-1_UTL25"/>
      <sheetName val="CGL-2_UTL25"/>
      <sheetName val="PHY_STOCK_OF_AUG__0025"/>
      <sheetName val="DEbt_(2)11"/>
      <sheetName val="CGL-1_UTL24"/>
      <sheetName val="CGL-2_UTL24"/>
      <sheetName val="PHY_STOCK_OF_AUG__0024"/>
      <sheetName val="DEbt_(2)10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5"/>
      <c r="B1" s="116"/>
      <c r="C1" s="117" t="s">
        <v>245</v>
      </c>
      <c r="D1" s="118"/>
      <c r="E1" s="118"/>
      <c r="F1" s="118"/>
      <c r="G1" s="118"/>
      <c r="H1" s="118"/>
      <c r="I1" s="118"/>
      <c r="J1" s="118"/>
      <c r="K1" s="118"/>
      <c r="L1" s="118"/>
      <c r="M1" s="119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0" t="s">
        <v>9</v>
      </c>
      <c r="K2" s="121"/>
      <c r="L2" s="121"/>
      <c r="M2" s="122"/>
    </row>
    <row r="3" spans="1:13" ht="37.5" customHeight="1" x14ac:dyDescent="0.25">
      <c r="A3" s="123">
        <v>1</v>
      </c>
      <c r="B3" s="126" t="s">
        <v>10</v>
      </c>
      <c r="C3" s="129" t="s">
        <v>11</v>
      </c>
      <c r="D3" s="132" t="s">
        <v>12</v>
      </c>
      <c r="E3" s="132" t="s">
        <v>13</v>
      </c>
      <c r="F3" s="132" t="s">
        <v>14</v>
      </c>
      <c r="G3" s="132" t="s">
        <v>15</v>
      </c>
      <c r="H3" s="135" t="s">
        <v>16</v>
      </c>
      <c r="I3" s="98"/>
      <c r="J3" s="100"/>
      <c r="K3" s="101"/>
      <c r="L3" s="101"/>
      <c r="M3" s="102"/>
    </row>
    <row r="4" spans="1:13" x14ac:dyDescent="0.25">
      <c r="A4" s="124"/>
      <c r="B4" s="127"/>
      <c r="C4" s="130"/>
      <c r="D4" s="133"/>
      <c r="E4" s="133"/>
      <c r="F4" s="133"/>
      <c r="G4" s="133"/>
      <c r="H4" s="136"/>
      <c r="I4" s="98"/>
      <c r="J4" s="103"/>
      <c r="K4" s="104"/>
      <c r="L4" s="104"/>
      <c r="M4" s="105"/>
    </row>
    <row r="5" spans="1:13" ht="15.75" thickBot="1" x14ac:dyDescent="0.3">
      <c r="A5" s="125"/>
      <c r="B5" s="128"/>
      <c r="C5" s="131"/>
      <c r="D5" s="134"/>
      <c r="E5" s="134"/>
      <c r="F5" s="134"/>
      <c r="G5" s="134"/>
      <c r="H5" s="137"/>
      <c r="I5" s="99"/>
      <c r="J5" s="138"/>
      <c r="K5" s="139"/>
      <c r="L5" s="139"/>
      <c r="M5" s="140"/>
    </row>
    <row r="6" spans="1:13" x14ac:dyDescent="0.25">
      <c r="A6" s="106">
        <v>2</v>
      </c>
      <c r="B6" s="109" t="s">
        <v>17</v>
      </c>
      <c r="C6" s="112" t="s">
        <v>18</v>
      </c>
      <c r="D6" s="85" t="s">
        <v>19</v>
      </c>
      <c r="E6" s="85" t="s">
        <v>20</v>
      </c>
      <c r="F6" s="85" t="s">
        <v>21</v>
      </c>
      <c r="G6" s="88" t="s">
        <v>22</v>
      </c>
      <c r="H6" s="94" t="s">
        <v>23</v>
      </c>
      <c r="I6" s="97"/>
      <c r="J6" s="100"/>
      <c r="K6" s="101"/>
      <c r="L6" s="101"/>
      <c r="M6" s="102"/>
    </row>
    <row r="7" spans="1:13" ht="25.5" customHeight="1" x14ac:dyDescent="0.25">
      <c r="A7" s="107"/>
      <c r="B7" s="110"/>
      <c r="C7" s="113"/>
      <c r="D7" s="86"/>
      <c r="E7" s="86"/>
      <c r="F7" s="86"/>
      <c r="G7" s="89"/>
      <c r="H7" s="95"/>
      <c r="I7" s="98"/>
      <c r="J7" s="103"/>
      <c r="K7" s="104"/>
      <c r="L7" s="104"/>
      <c r="M7" s="105"/>
    </row>
    <row r="8" spans="1:13" ht="25.5" customHeight="1" x14ac:dyDescent="0.25">
      <c r="A8" s="107"/>
      <c r="B8" s="110"/>
      <c r="C8" s="113"/>
      <c r="D8" s="86"/>
      <c r="E8" s="86"/>
      <c r="F8" s="86"/>
      <c r="G8" s="89"/>
      <c r="H8" s="95"/>
      <c r="I8" s="98"/>
      <c r="J8" s="103"/>
      <c r="K8" s="104"/>
      <c r="L8" s="104"/>
      <c r="M8" s="105"/>
    </row>
    <row r="9" spans="1:13" ht="23.25" customHeight="1" thickBot="1" x14ac:dyDescent="0.3">
      <c r="A9" s="108"/>
      <c r="B9" s="111"/>
      <c r="C9" s="114"/>
      <c r="D9" s="87"/>
      <c r="E9" s="87"/>
      <c r="F9" s="87"/>
      <c r="G9" s="90"/>
      <c r="H9" s="96"/>
      <c r="I9" s="99"/>
      <c r="J9" s="103"/>
      <c r="K9" s="104"/>
      <c r="L9" s="104"/>
      <c r="M9" s="105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1"/>
      <c r="K10" s="92"/>
      <c r="L10" s="92"/>
      <c r="M10" s="93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0"/>
      <c r="K11" s="101"/>
      <c r="L11" s="101"/>
      <c r="M11" s="102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1"/>
      <c r="K12" s="92"/>
      <c r="L12" s="92"/>
      <c r="M12" s="93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1"/>
      <c r="K13" s="92"/>
      <c r="L13" s="92"/>
      <c r="M13" s="93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1"/>
      <c r="K14" s="92"/>
      <c r="L14" s="92"/>
      <c r="M14" s="93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4" t="s">
        <v>59</v>
      </c>
      <c r="B1" s="166" t="s">
        <v>60</v>
      </c>
      <c r="C1" s="168" t="s">
        <v>2</v>
      </c>
      <c r="D1" s="170" t="s">
        <v>61</v>
      </c>
      <c r="E1" s="170"/>
      <c r="F1" s="170"/>
      <c r="G1" s="170"/>
      <c r="H1" s="170"/>
      <c r="I1" s="170"/>
    </row>
    <row r="2" spans="1:9" s="27" customFormat="1" ht="18.75" x14ac:dyDescent="0.3">
      <c r="A2" s="165"/>
      <c r="B2" s="167"/>
      <c r="C2" s="169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1">
        <v>1</v>
      </c>
      <c r="B3" s="174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57">
        <v>5</v>
      </c>
    </row>
    <row r="4" spans="1:9" ht="36" customHeight="1" x14ac:dyDescent="0.25">
      <c r="A4" s="172"/>
      <c r="B4" s="155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57"/>
    </row>
    <row r="5" spans="1:9" ht="71.25" customHeight="1" x14ac:dyDescent="0.25">
      <c r="A5" s="172"/>
      <c r="B5" s="155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3"/>
      <c r="B6" s="156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1">
        <v>2</v>
      </c>
      <c r="B7" s="154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57">
        <v>5</v>
      </c>
    </row>
    <row r="8" spans="1:9" ht="60" x14ac:dyDescent="0.25">
      <c r="A8" s="152">
        <v>2</v>
      </c>
      <c r="B8" s="155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57"/>
    </row>
    <row r="9" spans="1:9" ht="30" x14ac:dyDescent="0.25">
      <c r="A9" s="152"/>
      <c r="B9" s="155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2"/>
      <c r="B10" s="155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3"/>
      <c r="B11" s="156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58">
        <v>3</v>
      </c>
      <c r="B12" s="154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2">
        <v>5</v>
      </c>
    </row>
    <row r="13" spans="1:9" ht="45" x14ac:dyDescent="0.25">
      <c r="A13" s="159"/>
      <c r="B13" s="155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3"/>
    </row>
    <row r="14" spans="1:9" ht="63" customHeight="1" x14ac:dyDescent="0.25">
      <c r="A14" s="159"/>
      <c r="B14" s="155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59"/>
      <c r="B15" s="155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0"/>
      <c r="B16" s="161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4">
        <v>4</v>
      </c>
      <c r="B17" s="146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4"/>
      <c r="B18" s="146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4"/>
      <c r="B19" s="146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4"/>
      <c r="B20" s="146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48">
        <v>5</v>
      </c>
      <c r="B21" s="149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48"/>
      <c r="B22" s="149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48"/>
      <c r="B23" s="149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48"/>
      <c r="B24" s="149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48"/>
      <c r="B25" s="149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0">
        <v>6</v>
      </c>
      <c r="B26" s="149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1">
        <v>5</v>
      </c>
    </row>
    <row r="27" spans="1:9" ht="75" x14ac:dyDescent="0.25">
      <c r="A27" s="150"/>
      <c r="B27" s="149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2"/>
    </row>
    <row r="28" spans="1:9" ht="60" x14ac:dyDescent="0.25">
      <c r="A28" s="150"/>
      <c r="B28" s="149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2"/>
    </row>
    <row r="29" spans="1:9" ht="45" x14ac:dyDescent="0.25">
      <c r="A29" s="150"/>
      <c r="B29" s="149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3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4">
        <v>7</v>
      </c>
      <c r="B31" s="146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4"/>
      <c r="B32" s="146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4"/>
      <c r="B33" s="146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5"/>
      <c r="B34" s="147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tabSelected="1" zoomScale="80" zoomScaleNormal="80" zoomScaleSheetLayoutView="80" workbookViewId="0">
      <pane xSplit="2" ySplit="5" topLeftCell="C6" activePane="bottomRight" state="frozen"/>
      <selection pane="topRight" activeCell="C1" sqref="C1"/>
      <selection pane="bottomLeft" activeCell="A4" sqref="A4"/>
      <selection pane="bottomRight" activeCell="I32" sqref="I32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  <col min="10" max="10" width="9.140625" style="61"/>
  </cols>
  <sheetData>
    <row r="1" spans="1:10" ht="31.5" customHeight="1" thickBot="1" x14ac:dyDescent="0.3">
      <c r="A1" s="181"/>
      <c r="B1" s="181"/>
      <c r="C1" s="207" t="s">
        <v>300</v>
      </c>
      <c r="D1" s="208"/>
      <c r="E1" s="208"/>
      <c r="F1" s="208"/>
      <c r="G1" s="208"/>
      <c r="H1" s="208"/>
      <c r="I1" s="208"/>
      <c r="J1" s="209"/>
    </row>
    <row r="2" spans="1:10" ht="15.75" thickBot="1" x14ac:dyDescent="0.3">
      <c r="A2" s="181"/>
      <c r="B2" s="181"/>
      <c r="C2" s="204" t="s">
        <v>357</v>
      </c>
      <c r="D2" s="205"/>
      <c r="E2" s="204" t="s">
        <v>359</v>
      </c>
      <c r="F2" s="205"/>
      <c r="G2" s="213" t="s">
        <v>301</v>
      </c>
      <c r="H2" s="204" t="s">
        <v>302</v>
      </c>
      <c r="I2" s="206"/>
      <c r="J2" s="205"/>
    </row>
    <row r="3" spans="1:10" ht="15.75" customHeight="1" thickBot="1" x14ac:dyDescent="0.3">
      <c r="A3" s="139"/>
      <c r="B3" s="139"/>
      <c r="C3" s="206" t="s">
        <v>358</v>
      </c>
      <c r="D3" s="206"/>
      <c r="E3" s="204" t="s">
        <v>360</v>
      </c>
      <c r="F3" s="205"/>
      <c r="G3" s="214"/>
      <c r="H3" s="210" t="s">
        <v>303</v>
      </c>
      <c r="I3" s="211"/>
      <c r="J3" s="212"/>
    </row>
    <row r="4" spans="1:10" ht="18.75" x14ac:dyDescent="0.25">
      <c r="A4" s="164" t="s">
        <v>59</v>
      </c>
      <c r="B4" s="166" t="s">
        <v>60</v>
      </c>
      <c r="C4" s="168" t="s">
        <v>2</v>
      </c>
      <c r="D4" s="176" t="s">
        <v>61</v>
      </c>
      <c r="E4" s="176"/>
      <c r="F4" s="176"/>
      <c r="G4" s="176"/>
      <c r="H4" s="176"/>
      <c r="I4" s="176"/>
      <c r="J4" s="177"/>
    </row>
    <row r="5" spans="1:10" s="27" customFormat="1" ht="18.75" x14ac:dyDescent="0.3">
      <c r="A5" s="165"/>
      <c r="B5" s="167"/>
      <c r="C5" s="169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7" t="s">
        <v>67</v>
      </c>
    </row>
    <row r="6" spans="1:10" ht="96.75" customHeight="1" x14ac:dyDescent="0.25">
      <c r="A6" s="180">
        <v>1</v>
      </c>
      <c r="B6" s="178" t="s">
        <v>10</v>
      </c>
      <c r="C6" s="28" t="s">
        <v>68</v>
      </c>
      <c r="D6" s="84" t="s">
        <v>286</v>
      </c>
      <c r="E6" s="31" t="s">
        <v>287</v>
      </c>
      <c r="F6" s="31" t="s">
        <v>356</v>
      </c>
      <c r="G6" s="31" t="s">
        <v>318</v>
      </c>
      <c r="H6" s="31" t="s">
        <v>317</v>
      </c>
      <c r="I6" s="215">
        <v>2</v>
      </c>
      <c r="J6" s="179">
        <v>15</v>
      </c>
    </row>
    <row r="7" spans="1:10" ht="94.5" customHeight="1" x14ac:dyDescent="0.25">
      <c r="A7" s="180"/>
      <c r="B7" s="178"/>
      <c r="C7" s="28" t="s">
        <v>74</v>
      </c>
      <c r="D7" s="218" t="s">
        <v>288</v>
      </c>
      <c r="E7" s="218" t="s">
        <v>271</v>
      </c>
      <c r="F7" s="218" t="s">
        <v>272</v>
      </c>
      <c r="G7" s="218" t="s">
        <v>273</v>
      </c>
      <c r="H7" s="218" t="s">
        <v>79</v>
      </c>
      <c r="I7" s="215"/>
      <c r="J7" s="179"/>
    </row>
    <row r="8" spans="1:10" ht="94.5" customHeight="1" x14ac:dyDescent="0.25">
      <c r="A8" s="180"/>
      <c r="B8" s="178"/>
      <c r="C8" s="28" t="s">
        <v>277</v>
      </c>
      <c r="D8" s="218" t="s">
        <v>247</v>
      </c>
      <c r="E8" s="218" t="s">
        <v>248</v>
      </c>
      <c r="F8" s="218" t="s">
        <v>249</v>
      </c>
      <c r="G8" s="218" t="s">
        <v>250</v>
      </c>
      <c r="H8" s="218" t="s">
        <v>251</v>
      </c>
      <c r="I8" s="47">
        <v>0</v>
      </c>
      <c r="J8" s="179"/>
    </row>
    <row r="9" spans="1:10" ht="60" customHeight="1" x14ac:dyDescent="0.25">
      <c r="A9" s="180">
        <v>2</v>
      </c>
      <c r="B9" s="146" t="s">
        <v>17</v>
      </c>
      <c r="C9" s="28" t="s">
        <v>319</v>
      </c>
      <c r="D9" s="84" t="s">
        <v>320</v>
      </c>
      <c r="E9" s="84" t="s">
        <v>321</v>
      </c>
      <c r="F9" s="84" t="s">
        <v>322</v>
      </c>
      <c r="G9" s="84" t="s">
        <v>323</v>
      </c>
      <c r="H9" s="84" t="s">
        <v>324</v>
      </c>
      <c r="I9" s="215">
        <v>4</v>
      </c>
      <c r="J9" s="179">
        <v>20</v>
      </c>
    </row>
    <row r="10" spans="1:10" ht="45" x14ac:dyDescent="0.25">
      <c r="A10" s="180">
        <v>2</v>
      </c>
      <c r="B10" s="146"/>
      <c r="C10" s="29" t="s">
        <v>289</v>
      </c>
      <c r="D10" s="84" t="s">
        <v>325</v>
      </c>
      <c r="E10" s="84" t="s">
        <v>326</v>
      </c>
      <c r="F10" s="84" t="s">
        <v>327</v>
      </c>
      <c r="G10" s="31" t="s">
        <v>328</v>
      </c>
      <c r="H10" s="31" t="s">
        <v>328</v>
      </c>
      <c r="I10" s="215"/>
      <c r="J10" s="179"/>
    </row>
    <row r="11" spans="1:10" ht="48" customHeight="1" x14ac:dyDescent="0.25">
      <c r="A11" s="180"/>
      <c r="B11" s="146"/>
      <c r="C11" s="68" t="s">
        <v>329</v>
      </c>
      <c r="D11" s="84" t="s">
        <v>98</v>
      </c>
      <c r="E11" s="84" t="s">
        <v>99</v>
      </c>
      <c r="F11" s="84" t="s">
        <v>100</v>
      </c>
      <c r="G11" s="31" t="s">
        <v>101</v>
      </c>
      <c r="H11" s="31" t="s">
        <v>290</v>
      </c>
      <c r="I11" s="47">
        <v>3</v>
      </c>
      <c r="J11" s="179"/>
    </row>
    <row r="12" spans="1:10" ht="83.25" customHeight="1" x14ac:dyDescent="0.25">
      <c r="A12" s="180"/>
      <c r="B12" s="146"/>
      <c r="C12" s="29" t="s">
        <v>260</v>
      </c>
      <c r="D12" s="84" t="s">
        <v>291</v>
      </c>
      <c r="E12" s="84" t="s">
        <v>105</v>
      </c>
      <c r="F12" s="84" t="s">
        <v>106</v>
      </c>
      <c r="G12" s="84" t="s">
        <v>107</v>
      </c>
      <c r="H12" s="84" t="s">
        <v>292</v>
      </c>
      <c r="I12" s="47">
        <v>5</v>
      </c>
      <c r="J12" s="179"/>
    </row>
    <row r="13" spans="1:10" ht="45" x14ac:dyDescent="0.25">
      <c r="A13" s="180"/>
      <c r="B13" s="146"/>
      <c r="C13" s="68" t="s">
        <v>261</v>
      </c>
      <c r="D13" s="84" t="s">
        <v>110</v>
      </c>
      <c r="E13" s="84" t="s">
        <v>111</v>
      </c>
      <c r="F13" s="84" t="s">
        <v>112</v>
      </c>
      <c r="G13" s="84" t="s">
        <v>113</v>
      </c>
      <c r="H13" s="84" t="s">
        <v>114</v>
      </c>
      <c r="I13" s="47">
        <v>5</v>
      </c>
      <c r="J13" s="179"/>
    </row>
    <row r="14" spans="1:10" ht="83.25" customHeight="1" x14ac:dyDescent="0.25">
      <c r="A14" s="144">
        <v>3</v>
      </c>
      <c r="B14" s="146" t="s">
        <v>24</v>
      </c>
      <c r="C14" s="68" t="s">
        <v>115</v>
      </c>
      <c r="D14" s="84" t="s">
        <v>116</v>
      </c>
      <c r="E14" s="84" t="s">
        <v>293</v>
      </c>
      <c r="F14" s="84" t="s">
        <v>118</v>
      </c>
      <c r="G14" s="84" t="s">
        <v>119</v>
      </c>
      <c r="H14" s="84" t="s">
        <v>120</v>
      </c>
      <c r="I14" s="47">
        <v>5</v>
      </c>
      <c r="J14" s="179">
        <v>15</v>
      </c>
    </row>
    <row r="15" spans="1:10" ht="62.25" customHeight="1" x14ac:dyDescent="0.25">
      <c r="A15" s="144"/>
      <c r="B15" s="146"/>
      <c r="C15" s="29" t="s">
        <v>331</v>
      </c>
      <c r="D15" s="84" t="s">
        <v>332</v>
      </c>
      <c r="E15" s="84" t="s">
        <v>333</v>
      </c>
      <c r="F15" s="84" t="s">
        <v>334</v>
      </c>
      <c r="G15" s="84" t="s">
        <v>330</v>
      </c>
      <c r="H15" s="84" t="s">
        <v>335</v>
      </c>
      <c r="I15" s="47">
        <v>5</v>
      </c>
      <c r="J15" s="179"/>
    </row>
    <row r="16" spans="1:10" ht="75" x14ac:dyDescent="0.25">
      <c r="A16" s="144"/>
      <c r="B16" s="146"/>
      <c r="C16" s="68" t="s">
        <v>133</v>
      </c>
      <c r="D16" s="84" t="s">
        <v>134</v>
      </c>
      <c r="E16" s="84" t="s">
        <v>253</v>
      </c>
      <c r="F16" s="84" t="s">
        <v>254</v>
      </c>
      <c r="G16" s="84" t="s">
        <v>255</v>
      </c>
      <c r="H16" s="31" t="s">
        <v>256</v>
      </c>
      <c r="I16" s="47">
        <v>4</v>
      </c>
      <c r="J16" s="179"/>
    </row>
    <row r="17" spans="1:10" ht="90" x14ac:dyDescent="0.25">
      <c r="A17" s="144"/>
      <c r="B17" s="146"/>
      <c r="C17" s="28" t="s">
        <v>294</v>
      </c>
      <c r="D17" s="84" t="s">
        <v>134</v>
      </c>
      <c r="E17" s="31" t="s">
        <v>135</v>
      </c>
      <c r="F17" s="31" t="s">
        <v>136</v>
      </c>
      <c r="G17" s="31" t="s">
        <v>137</v>
      </c>
      <c r="H17" s="31" t="s">
        <v>138</v>
      </c>
      <c r="I17" s="47">
        <v>1</v>
      </c>
      <c r="J17" s="179"/>
    </row>
    <row r="18" spans="1:10" ht="105" customHeight="1" x14ac:dyDescent="0.25">
      <c r="A18" s="144">
        <v>4</v>
      </c>
      <c r="B18" s="146" t="s">
        <v>31</v>
      </c>
      <c r="C18" s="28" t="s">
        <v>140</v>
      </c>
      <c r="D18" s="84" t="s">
        <v>141</v>
      </c>
      <c r="E18" s="84" t="s">
        <v>295</v>
      </c>
      <c r="F18" s="84" t="s">
        <v>336</v>
      </c>
      <c r="G18" s="31" t="s">
        <v>337</v>
      </c>
      <c r="H18" s="31" t="s">
        <v>338</v>
      </c>
      <c r="I18" s="47">
        <v>3</v>
      </c>
      <c r="J18" s="179">
        <v>20</v>
      </c>
    </row>
    <row r="19" spans="1:10" ht="91.5" customHeight="1" x14ac:dyDescent="0.25">
      <c r="A19" s="144"/>
      <c r="B19" s="146"/>
      <c r="C19" s="28" t="s">
        <v>146</v>
      </c>
      <c r="D19" s="84" t="s">
        <v>147</v>
      </c>
      <c r="E19" s="84" t="s">
        <v>148</v>
      </c>
      <c r="F19" s="84" t="s">
        <v>304</v>
      </c>
      <c r="G19" s="84" t="s">
        <v>305</v>
      </c>
      <c r="H19" s="31" t="s">
        <v>306</v>
      </c>
      <c r="I19" s="47">
        <v>4</v>
      </c>
      <c r="J19" s="179"/>
    </row>
    <row r="20" spans="1:10" ht="88.5" customHeight="1" x14ac:dyDescent="0.25">
      <c r="A20" s="144"/>
      <c r="B20" s="146"/>
      <c r="C20" s="28" t="s">
        <v>152</v>
      </c>
      <c r="D20" s="84" t="s">
        <v>153</v>
      </c>
      <c r="E20" s="84" t="s">
        <v>154</v>
      </c>
      <c r="F20" s="31" t="s">
        <v>155</v>
      </c>
      <c r="G20" s="31" t="s">
        <v>156</v>
      </c>
      <c r="H20" s="31" t="s">
        <v>157</v>
      </c>
      <c r="I20" s="47">
        <v>2</v>
      </c>
      <c r="J20" s="179"/>
    </row>
    <row r="21" spans="1:10" ht="90" x14ac:dyDescent="0.25">
      <c r="A21" s="144"/>
      <c r="B21" s="146"/>
      <c r="C21" s="28" t="s">
        <v>265</v>
      </c>
      <c r="D21" s="84" t="s">
        <v>159</v>
      </c>
      <c r="E21" s="84" t="s">
        <v>266</v>
      </c>
      <c r="F21" s="84" t="s">
        <v>267</v>
      </c>
      <c r="G21" s="31" t="s">
        <v>269</v>
      </c>
      <c r="H21" s="31" t="s">
        <v>270</v>
      </c>
      <c r="I21" s="47">
        <v>3</v>
      </c>
      <c r="J21" s="179"/>
    </row>
    <row r="22" spans="1:10" ht="90" x14ac:dyDescent="0.25">
      <c r="A22" s="148">
        <v>5</v>
      </c>
      <c r="B22" s="149" t="s">
        <v>164</v>
      </c>
      <c r="C22" s="28" t="s">
        <v>165</v>
      </c>
      <c r="D22" s="84" t="s">
        <v>166</v>
      </c>
      <c r="E22" s="84" t="s">
        <v>167</v>
      </c>
      <c r="F22" s="84" t="s">
        <v>168</v>
      </c>
      <c r="G22" s="84" t="s">
        <v>268</v>
      </c>
      <c r="H22" s="31" t="s">
        <v>170</v>
      </c>
      <c r="I22" s="47">
        <v>4</v>
      </c>
      <c r="J22" s="179">
        <v>25</v>
      </c>
    </row>
    <row r="23" spans="1:10" ht="117" customHeight="1" x14ac:dyDescent="0.25">
      <c r="A23" s="148"/>
      <c r="B23" s="149"/>
      <c r="C23" s="28" t="s">
        <v>171</v>
      </c>
      <c r="D23" s="84" t="s">
        <v>263</v>
      </c>
      <c r="E23" s="84" t="s">
        <v>264</v>
      </c>
      <c r="F23" s="84" t="s">
        <v>339</v>
      </c>
      <c r="G23" s="31" t="s">
        <v>340</v>
      </c>
      <c r="H23" s="31" t="s">
        <v>341</v>
      </c>
      <c r="I23" s="47">
        <v>3</v>
      </c>
      <c r="J23" s="179"/>
    </row>
    <row r="24" spans="1:10" ht="120" customHeight="1" x14ac:dyDescent="0.25">
      <c r="A24" s="148"/>
      <c r="B24" s="149"/>
      <c r="C24" s="28" t="s">
        <v>177</v>
      </c>
      <c r="D24" s="84" t="s">
        <v>342</v>
      </c>
      <c r="E24" s="84" t="s">
        <v>343</v>
      </c>
      <c r="F24" s="84" t="s">
        <v>344</v>
      </c>
      <c r="G24" s="31" t="s">
        <v>345</v>
      </c>
      <c r="H24" s="31" t="s">
        <v>346</v>
      </c>
      <c r="I24" s="47">
        <v>3</v>
      </c>
      <c r="J24" s="179"/>
    </row>
    <row r="25" spans="1:10" ht="90" x14ac:dyDescent="0.25">
      <c r="A25" s="148"/>
      <c r="B25" s="149"/>
      <c r="C25" s="70" t="s">
        <v>183</v>
      </c>
      <c r="D25" s="84" t="s">
        <v>184</v>
      </c>
      <c r="E25" s="31" t="s">
        <v>185</v>
      </c>
      <c r="F25" s="31" t="s">
        <v>186</v>
      </c>
      <c r="G25" s="31" t="s">
        <v>258</v>
      </c>
      <c r="H25" s="31" t="s">
        <v>259</v>
      </c>
      <c r="I25" s="47">
        <v>1</v>
      </c>
      <c r="J25" s="179"/>
    </row>
    <row r="26" spans="1:10" ht="75" x14ac:dyDescent="0.25">
      <c r="A26" s="148"/>
      <c r="B26" s="149"/>
      <c r="C26" s="70" t="s">
        <v>262</v>
      </c>
      <c r="D26" s="84" t="s">
        <v>184</v>
      </c>
      <c r="E26" s="31" t="s">
        <v>190</v>
      </c>
      <c r="F26" s="31" t="s">
        <v>191</v>
      </c>
      <c r="G26" s="31" t="s">
        <v>192</v>
      </c>
      <c r="H26" s="31" t="s">
        <v>257</v>
      </c>
      <c r="I26" s="47">
        <v>1</v>
      </c>
      <c r="J26" s="179"/>
    </row>
    <row r="27" spans="1:10" ht="105" x14ac:dyDescent="0.25">
      <c r="A27" s="76">
        <v>6</v>
      </c>
      <c r="B27" s="75" t="s">
        <v>246</v>
      </c>
      <c r="C27" s="28" t="s">
        <v>276</v>
      </c>
      <c r="D27" s="84" t="s">
        <v>275</v>
      </c>
      <c r="E27" s="84" t="s">
        <v>252</v>
      </c>
      <c r="F27" s="219" t="s">
        <v>348</v>
      </c>
      <c r="G27" s="83" t="s">
        <v>347</v>
      </c>
      <c r="H27" s="31" t="s">
        <v>274</v>
      </c>
      <c r="I27" s="47">
        <v>3</v>
      </c>
      <c r="J27" s="78">
        <v>5</v>
      </c>
    </row>
    <row r="28" spans="1:10" ht="90.75" customHeight="1" x14ac:dyDescent="0.25">
      <c r="A28" s="144">
        <v>7</v>
      </c>
      <c r="B28" s="146" t="s">
        <v>52</v>
      </c>
      <c r="C28" s="28" t="s">
        <v>296</v>
      </c>
      <c r="D28" s="84" t="s">
        <v>316</v>
      </c>
      <c r="E28" s="84" t="s">
        <v>315</v>
      </c>
      <c r="F28" s="84" t="s">
        <v>314</v>
      </c>
      <c r="G28" s="84" t="s">
        <v>313</v>
      </c>
      <c r="H28" s="31" t="s">
        <v>312</v>
      </c>
      <c r="I28" s="47">
        <v>4</v>
      </c>
      <c r="J28" s="175">
        <v>20</v>
      </c>
    </row>
    <row r="29" spans="1:10" ht="104.25" customHeight="1" x14ac:dyDescent="0.25">
      <c r="A29" s="144"/>
      <c r="B29" s="146"/>
      <c r="C29" s="28" t="s">
        <v>297</v>
      </c>
      <c r="D29" s="84" t="s">
        <v>311</v>
      </c>
      <c r="E29" s="84" t="s">
        <v>310</v>
      </c>
      <c r="F29" s="84" t="s">
        <v>309</v>
      </c>
      <c r="G29" s="31" t="s">
        <v>308</v>
      </c>
      <c r="H29" s="31" t="s">
        <v>307</v>
      </c>
      <c r="I29" s="47">
        <v>3</v>
      </c>
      <c r="J29" s="175"/>
    </row>
    <row r="30" spans="1:10" ht="78" customHeight="1" x14ac:dyDescent="0.25">
      <c r="A30" s="144"/>
      <c r="B30" s="146"/>
      <c r="C30" s="28" t="s">
        <v>298</v>
      </c>
      <c r="D30" s="84" t="s">
        <v>351</v>
      </c>
      <c r="E30" s="84" t="s">
        <v>350</v>
      </c>
      <c r="F30" s="31" t="s">
        <v>349</v>
      </c>
      <c r="G30" s="31" t="s">
        <v>352</v>
      </c>
      <c r="H30" s="31" t="s">
        <v>353</v>
      </c>
      <c r="I30" s="47">
        <v>2</v>
      </c>
      <c r="J30" s="175"/>
    </row>
    <row r="31" spans="1:10" ht="96.75" customHeight="1" x14ac:dyDescent="0.25">
      <c r="A31" s="144"/>
      <c r="B31" s="146"/>
      <c r="C31" s="28" t="s">
        <v>299</v>
      </c>
      <c r="D31" s="84" t="s">
        <v>221</v>
      </c>
      <c r="E31" s="84" t="s">
        <v>222</v>
      </c>
      <c r="F31" s="84" t="s">
        <v>223</v>
      </c>
      <c r="G31" s="31" t="s">
        <v>354</v>
      </c>
      <c r="H31" s="31" t="s">
        <v>355</v>
      </c>
      <c r="I31" s="47">
        <v>3</v>
      </c>
      <c r="J31" s="175"/>
    </row>
    <row r="32" spans="1:10" ht="15.75" thickBot="1" x14ac:dyDescent="0.3">
      <c r="A32" s="79"/>
      <c r="B32" s="80"/>
      <c r="C32" s="81"/>
      <c r="D32" s="216"/>
      <c r="E32" s="216"/>
      <c r="F32" s="216"/>
      <c r="G32" s="216"/>
      <c r="H32" s="216"/>
      <c r="I32" s="217">
        <f>AVERAGE(I6:I31)</f>
        <v>3.0416666666666665</v>
      </c>
      <c r="J32" s="82">
        <f>SUM(J6:J31)</f>
        <v>120</v>
      </c>
    </row>
    <row r="33" spans="1:10" ht="15.75" thickBot="1" x14ac:dyDescent="0.3">
      <c r="A33" s="182" t="s">
        <v>278</v>
      </c>
      <c r="B33" s="183"/>
      <c r="C33" s="183"/>
      <c r="D33" s="183"/>
      <c r="E33" s="183"/>
      <c r="F33" s="183"/>
      <c r="G33" s="183"/>
      <c r="H33" s="183"/>
      <c r="I33" s="183"/>
      <c r="J33" s="184"/>
    </row>
    <row r="34" spans="1:10" ht="30.75" thickBot="1" x14ac:dyDescent="0.3">
      <c r="A34" s="71" t="s">
        <v>279</v>
      </c>
      <c r="B34" s="73" t="s">
        <v>280</v>
      </c>
      <c r="C34" s="91" t="s">
        <v>281</v>
      </c>
      <c r="D34" s="92"/>
      <c r="E34" s="92"/>
      <c r="F34" s="92"/>
      <c r="G34" s="93"/>
      <c r="H34" s="185" t="s">
        <v>285</v>
      </c>
      <c r="I34" s="186"/>
      <c r="J34" s="187"/>
    </row>
    <row r="35" spans="1:10" ht="64.5" customHeight="1" x14ac:dyDescent="0.25">
      <c r="A35" s="71">
        <v>1</v>
      </c>
      <c r="B35" s="72" t="s">
        <v>282</v>
      </c>
      <c r="C35" s="188"/>
      <c r="D35" s="101"/>
      <c r="E35" s="101"/>
      <c r="F35" s="101"/>
      <c r="G35" s="189"/>
      <c r="H35" s="195"/>
      <c r="I35" s="196"/>
      <c r="J35" s="197"/>
    </row>
    <row r="36" spans="1:10" ht="84" customHeight="1" x14ac:dyDescent="0.25">
      <c r="A36" s="71">
        <v>2</v>
      </c>
      <c r="B36" s="72" t="s">
        <v>283</v>
      </c>
      <c r="C36" s="190"/>
      <c r="D36" s="104"/>
      <c r="E36" s="104"/>
      <c r="F36" s="104"/>
      <c r="G36" s="191"/>
      <c r="H36" s="198"/>
      <c r="I36" s="199"/>
      <c r="J36" s="200"/>
    </row>
    <row r="37" spans="1:10" ht="66" customHeight="1" x14ac:dyDescent="0.25">
      <c r="A37" s="71">
        <v>3</v>
      </c>
      <c r="B37" s="72" t="s">
        <v>284</v>
      </c>
      <c r="C37" s="192"/>
      <c r="D37" s="193"/>
      <c r="E37" s="193"/>
      <c r="F37" s="193"/>
      <c r="G37" s="194"/>
      <c r="H37" s="201"/>
      <c r="I37" s="202"/>
      <c r="J37" s="203"/>
    </row>
    <row r="38" spans="1:10" ht="53.25" customHeight="1" x14ac:dyDescent="0.25"/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68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Revised Working sheet</vt:lpstr>
      <vt:lpstr>'Revised Working sheet'!Print_Area</vt:lpstr>
      <vt:lpstr>'WORKING SHEET FOR QMML'!Print_Area</vt:lpstr>
      <vt:lpstr>'Revised Working sheet'!Print_Titles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Rehana Sultana</cp:lastModifiedBy>
  <cp:lastPrinted>2026-01-13T07:57:07Z</cp:lastPrinted>
  <dcterms:created xsi:type="dcterms:W3CDTF">2025-10-25T09:43:11Z</dcterms:created>
  <dcterms:modified xsi:type="dcterms:W3CDTF">2026-03-06T09:52:49Z</dcterms:modified>
</cp:coreProperties>
</file>