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1032790\Downloads\"/>
    </mc:Choice>
  </mc:AlternateContent>
  <bookViews>
    <workbookView minimized="1" xWindow="0" yWindow="0" windowWidth="20205" windowHeight="699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sheet'!$A$4:$J$31</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sheet'!$4:$5</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4" i="3" l="1"/>
  <c r="K32" i="3" l="1"/>
  <c r="K33" i="3" s="1"/>
  <c r="J32" i="3" l="1"/>
  <c r="I32"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<sst xmlns="http://schemas.openxmlformats.org/spreadsheetml/2006/main" count="461" uniqueCount="364">
  <si>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</si>
  <si>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</si>
  <si>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</si>
  <si>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</si>
  <si>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</si>
  <si>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</si>
  <si>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</si>
  <si>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</si>
  <si>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</si>
  <si>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</si>
  <si>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</si>
  <si>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</si>
  <si>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</si>
  <si>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</si>
  <si>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</si>
  <si>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</si>
  <si>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</si>
  <si>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</si>
  <si>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</si>
  <si>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</si>
  <si>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</si>
  <si>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</si>
  <si>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</si>
  <si>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</si>
  <si>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</si>
  <si>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</si>
  <si>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</si>
  <si>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</si>
  <si>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</si>
  <si>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</si>
  <si>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</si>
  <si>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</si>
  <si>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</si>
  <si>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</si>
  <si>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</si>
  <si>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</si>
  <si>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</si>
  <si>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</si>
  <si>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</si>
  <si>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</si>
  <si>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</si>
  <si>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</si>
  <si>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</si>
  <si>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</si>
  <si>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</si>
  <si>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</si>
  <si>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</si>
  <si>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</si>
  <si>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</si>
  <si>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</si>
  <si>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</si>
  <si>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</si>
  <si>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</si>
  <si>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</si>
  <si>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</si>
  <si>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</si>
  <si>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</si>
  <si>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</si>
  <si>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</si>
  <si>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</si>
  <si>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</si>
  <si>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</si>
  <si>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</si>
  <si>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</si>
  <si>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</si>
  <si>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</si>
  <si>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</si>
  <si>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</si>
  <si>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</si>
  <si>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</si>
  <si>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</si>
  <si>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</si>
  <si>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</si>
  <si>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</si>
  <si>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</si>
  <si>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</si>
  <si>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</si>
  <si>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</si>
  <si>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</si>
  <si>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</si>
  <si>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</si>
  <si>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</si>
  <si>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</si>
  <si>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</si>
  <si>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</si>
  <si>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</si>
  <si>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</si>
  <si>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</si>
  <si>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</si>
  <si>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</si>
  <si>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</si>
  <si>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</si>
  <si>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</si>
  <si>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</si>
  <si>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</si>
  <si>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</si>
  <si>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</si>
  <si>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</si>
  <si>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</si>
  <si>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</si>
  <si>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</si>
  <si>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</si>
  <si>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</si>
  <si>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</si>
  <si>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</si>
  <si>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</si>
  <si>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</si>
  <si>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</si>
  <si>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</si>
  <si>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</si>
  <si>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</si>
  <si>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</si>
  <si>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</si>
  <si>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</si>
  <si>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</si>
  <si>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</si>
  <si>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</si>
  <si>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</si>
  <si>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</si>
  <si>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</si>
  <si>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</si>
  <si>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</si>
  <si>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</si>
  <si>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</si>
  <si>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</si>
  <si>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</si>
  <si>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</si>
  <si>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</si>
  <si>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</si>
  <si>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</si>
  <si>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</si>
  <si>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</si>
  <si>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</si>
  <si>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</si>
  <si>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</si>
  <si>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</si>
  <si>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</si>
  <si>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</si>
  <si>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</si>
  <si>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</si>
  <si>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</si>
  <si>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</si>
  <si>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</si>
  <si>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</si>
  <si>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</si>
  <si>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</si>
  <si>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</si>
  <si>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</si>
  <si>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</si>
  <si>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</si>
  <si>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</si>
  <si>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</si>
  <si>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</si>
  <si>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</si>
  <si>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</si>
  <si>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</si>
  <si>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</si>
  <si>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</si>
  <si>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</si>
  <si>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</si>
  <si>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</si>
  <si>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</si>
  <si>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</si>
  <si>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</si>
  <si>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</si>
  <si>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</si>
  <si>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</si>
  <si>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</si>
  <si>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</si>
  <si>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</si>
  <si>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</si>
  <si>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</si>
  <si>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</si>
  <si>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</si>
  <si>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</si>
  <si>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</si>
  <si>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</si>
  <si>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</si>
  <si>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</si>
  <si>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</si>
  <si>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</si>
  <si>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</si>
  <si>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</si>
  <si>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</si>
  <si>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</si>
  <si>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</si>
  <si>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</si>
  <si>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</si>
  <si>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</si>
  <si>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</si>
  <si>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</si>
  <si>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</si>
  <si>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</si>
  <si>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</si>
  <si>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</si>
  <si>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</si>
  <si>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</si>
  <si>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</si>
  <si>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</si>
  <si>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</si>
  <si>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</si>
  <si>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</si>
  <si>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</si>
  <si>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</si>
  <si>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</si>
  <si>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</si>
  <si>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</si>
  <si>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</si>
  <si>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</si>
  <si>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</si>
  <si>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</si>
  <si>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</si>
  <si>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</si>
  <si>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</si>
  <si>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</si>
  <si>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</si>
  <si>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</si>
  <si>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</si>
  <si>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</si>
  <si>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</si>
  <si>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</si>
  <si>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</si>
  <si>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</si>
  <si>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</si>
  <si>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</si>
  <si>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</si>
  <si>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</si>
  <si>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</si>
  <si>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</si>
  <si>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</si>
  <si>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</si>
  <si>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</si>
  <si>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</si>
  <si>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</si>
  <si>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</si>
  <si>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</si>
  <si>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</si>
  <si>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</si>
  <si>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</si>
  <si>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</si>
  <si>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</si>
  <si>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</si>
  <si>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</si>
  <si>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</si>
  <si>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</si>
  <si>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</si>
  <si>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</si>
  <si>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</si>
  <si>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</si>
  <si>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</si>
  <si>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</si>
  <si>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</si>
  <si>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</si>
  <si>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</si>
  <si>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</si>
  <si>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</si>
  <si>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</si>
  <si>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</si>
  <si>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</si>
  <si>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</si>
  <si>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Roles &amp; responsibility </t>
  </si>
  <si>
    <t xml:space="preserve"># KPI </t>
  </si>
  <si>
    <t xml:space="preserve"># Quantitative Analysis </t>
  </si>
  <si>
    <t>Internal Audit (IA) plan available but IA  not conducted as per the plan</t>
  </si>
  <si>
    <t xml:space="preserve"> IA plan available and conducted as per the plan</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</si>
  <si>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</si>
  <si>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</si>
  <si>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</si>
  <si>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</si>
  <si>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</si>
  <si>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</si>
  <si>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 xml:space="preserve">Average 80% Compliance </t>
  </si>
  <si>
    <t>Average 90% Compliance</t>
  </si>
  <si>
    <t>Average 100% Compliance</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</si>
  <si>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</si>
  <si>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</si>
  <si>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</si>
  <si>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</si>
  <si>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</si>
  <si>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</si>
  <si>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</si>
  <si>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</si>
  <si>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Could not be completed De to Lack of Understanding</t>
  </si>
  <si>
    <t>Assessment Not taken up due to no Preparation</t>
  </si>
  <si>
    <t>General Observations</t>
  </si>
  <si>
    <t>1.Identification of all customers.
2. MoU available for critical customers
3. ICS Index available</t>
  </si>
  <si>
    <t>ICS-80% achieved</t>
  </si>
  <si>
    <t>All customers identified.
CSR Maintained for Critical top 2
Automative and 
Non Automotive Customers</t>
  </si>
  <si>
    <t># Department Business plan connected to OSM</t>
  </si>
  <si>
    <t>Operators understand the  Policy</t>
  </si>
  <si>
    <t>1. Organization Chart
Available
2. Position Wise Roles and Respnsibility available</t>
  </si>
  <si>
    <t>Roles and responsibility linked to QMS Policy+ Business plan+ KPI+ How are New Requirements being considered</t>
  </si>
  <si>
    <t>Skill Matrix available for Associates company along with Criteria</t>
  </si>
  <si>
    <t xml:space="preserve">
# Training (Issue Based )</t>
  </si>
  <si>
    <t>Evidence of business process interaction and  process map  defined. SIPOC</t>
  </si>
  <si>
    <t># Kaizen &amp; effectiveness
M-KPI, C-KPI  0.5%/year</t>
  </si>
  <si>
    <t># Project  &amp; effectiveness 
Objectives in OSM 0.5%/year</t>
  </si>
  <si>
    <t># Corrective action effectiveness 
KPI- Gap Analysis 0.5%/year</t>
  </si>
  <si>
    <t xml:space="preserve">
# QMS effectiveness 
DQC, Departmental TQM Council (DTC)  0.5%/year</t>
  </si>
  <si>
    <t>Quality Management System Maturity Level</t>
  </si>
  <si>
    <t>Auditee:</t>
  </si>
  <si>
    <t>MR-QMML-07</t>
  </si>
  <si>
    <t>Issue/Rev-1/8</t>
  </si>
  <si>
    <t>Section:</t>
  </si>
  <si>
    <t>Auditor:</t>
  </si>
  <si>
    <t>Rev Date: 04/02/2026</t>
  </si>
  <si>
    <t>DM Meetings, DQC conducted as per the frequency and Issues resolved</t>
  </si>
  <si>
    <t>evidences of DM Meetings, DQC conducted resulting in identification of  CFT Projects</t>
  </si>
  <si>
    <t>effective usage of DM Meetings, DQC  platform resulting in Continuous improvements</t>
  </si>
  <si>
    <t xml:space="preserve">L08  and above one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</si>
  <si>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</si>
  <si>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</si>
  <si>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</si>
  <si>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0.2 Project per person per year  completion , and aligned with M-KPI and C-KPI, Project supports to improve KPI </t>
  </si>
  <si>
    <t xml:space="preserve">L07 and Below 2 kaizens per person per year, , and aligned with M-KPI and C-KPI, Kaizen supports to improve KPI </t>
  </si>
  <si>
    <t xml:space="preserve">L07 and Below 1 kaizens per person per year, , and aligned with M-KPI and C-KPI, Kaizen supports to improve KPI </t>
  </si>
  <si>
    <t xml:space="preserve">L07 and Below 0.8 kaizens per person per year, , and aligned with M-KPI and C-KPI, Kaizen supports to improve KPI </t>
  </si>
  <si>
    <t xml:space="preserve">L07 and Below 0.6 kaizens per person per year, , and aligned with M-KPI and C-KPI, Kaizen supports to improve KPI </t>
  </si>
  <si>
    <t xml:space="preserve">L07 and Below 0.4 kaizens per person per year, , and aligned with M-KPI and C-KPI, Kaizen supports to improve KPI </t>
  </si>
  <si>
    <t>1. ICS -100% along with Appreciation letters
2. zero QFF in Last 3 months</t>
  </si>
  <si>
    <t xml:space="preserve">ICS-90% achieved
Zero QFFin last month </t>
  </si>
  <si>
    <t xml:space="preserve">ICS -100%  achieved
Zero QFFin 2 month </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</si>
  <si>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</si>
  <si>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</si>
  <si>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</si>
  <si>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</si>
  <si>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</si>
  <si>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</si>
  <si>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</si>
  <si>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</si>
  <si>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</si>
  <si>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</si>
  <si>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</si>
  <si>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Achieving 0 Injury, Zero Defect, Zero Waste and Zero Breakdown</t>
  </si>
  <si>
    <t>Adoption of 0757 at the shopfloor</t>
  </si>
  <si>
    <t>Achieving 0 Injury,</t>
  </si>
  <si>
    <t>Achieving 0 Injury, Zero Defect,</t>
  </si>
  <si>
    <t xml:space="preserve">Achieving 0 Injury, Zero Defect, Zero Waste </t>
  </si>
  <si>
    <t>Achieving 0 Injury, Zero Defect, Zero Waste and Zero Breakdown for 3 months</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</si>
  <si>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</si>
  <si>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</si>
  <si>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</si>
  <si>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</si>
  <si>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</si>
  <si>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</si>
  <si>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</si>
  <si>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</si>
  <si>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</si>
  <si>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</si>
  <si>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</si>
  <si>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xml:space="preserve">Supplier Score card procedure available with perfromance criteria, used best practices within India- For Contractor evaluation &gt;50% CSM rating. For supplier &gt;40% evaluation </t>
  </si>
  <si>
    <t>Supplier problem solving and Improvement through CAPA approach/ ESDR</t>
  </si>
  <si>
    <t>CA, AAF,RCFA available with planned and TQM Criteria used, and aligned with M-KPI and C-KPI</t>
  </si>
  <si>
    <t>Corrective action(CA) AAF, RCFA available with planned and TQM Criteria used</t>
  </si>
  <si>
    <t>Corrective action, Abnormality Analysis Form, RCFA,  available with own Criteria used</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</si>
  <si>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</si>
  <si>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</si>
  <si>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DQC, Departmental TQM Council (DTC) meetings conducted with plan, linked to KPI, TQM activity support to improve KPI</t>
  </si>
  <si>
    <t>DQC, Departmental TQM Council (DTC) meetings conducted with plan, linked to IMS KPI, TQM activity support to improve KPI</t>
  </si>
  <si>
    <r>
      <rPr>
        <b/>
        <sz val="24"/>
        <color theme="1"/>
        <rFont val="Calibri"/>
        <family val="2"/>
        <scheme val="minor"/>
      </rPr>
      <t>√</t>
    </r>
    <r>
      <rPr>
        <b/>
        <sz val="11"/>
        <color theme="1"/>
        <rFont val="Calibri"/>
        <family val="2"/>
        <scheme val="minor"/>
      </rPr>
      <t xml:space="preserve">                                Assessment Taken up      </t>
    </r>
  </si>
  <si>
    <t>Department: CMD</t>
  </si>
  <si>
    <t>1. MOU and ICS seen. RMHS-0.99, Aglo-0.90. Having around 600 cranes to maintain in 8 zones (13 areas).                                                                              2. Skill Matrix seen.                                                     3. ABP linked to SH                                                      4. DQC ppt presentation seen.                                    5. one of the RCFA seen.                                              6. Safety performance report (DIC) seen.                  7. KPI drill down, tree, plan vs actual seen. Also observed Gap analysis.</t>
  </si>
  <si>
    <t xml:space="preserve">1. Although some kaizens were seen. Target of 35 kaizens per month. Still many to be uploaded in portal. There were no QCs and one Six Sigma project.                                                                                                                                                                                                                                2. Did not see extensive usage of high end statistical or management tools.                                                          </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</si>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</sst>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18"/>
      <color theme="1"/>
      <name val="Calibri"/>
      <family val="2"/>
      <scheme val="minor"/>
    </font>
    <font>
      <b/>
      <sz val="24"/>
      <color theme="1"/>
      <name val="Calibri"/>
      <family val="2"/>
      <scheme val="minor"/>
    </font>
  </fonts>
  <fills count="7">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FFFF00"/>
        <bgColor indexed="64"/>
      </patternFill>
    </fill>
  </fills>
  <borders count="70">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16">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4" fillId="0" borderId="43" xfId="0" applyFont="1" applyFill="1" applyBorder="1" applyAlignment="1">
      <alignment vertical="center" wrapText="1"/>
    </xf>
    <xf numFmtId="0" fontId="1" fillId="0" borderId="43" xfId="0" applyFont="1" applyBorder="1" applyAlignment="1">
      <alignment horizontal="center"/>
    </xf>
    <xf numFmtId="0" fontId="1" fillId="0" borderId="43" xfId="0" applyFont="1" applyBorder="1" applyAlignment="1">
      <alignment wrapText="1"/>
    </xf>
    <xf numFmtId="0" fontId="1" fillId="0" borderId="48" xfId="0" applyFont="1" applyBorder="1" applyAlignment="1">
      <alignment wrapText="1"/>
    </xf>
    <xf numFmtId="0" fontId="6" fillId="5" borderId="43" xfId="0" applyFont="1" applyFill="1" applyBorder="1" applyAlignment="1">
      <alignment horizontal="center" vertical="center" wrapText="1"/>
    </xf>
    <xf numFmtId="0" fontId="0" fillId="0" borderId="43" xfId="0"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6" fillId="5" borderId="68" xfId="0" applyFont="1" applyFill="1" applyBorder="1" applyAlignment="1">
      <alignment horizontal="center" vertical="center" wrapText="1"/>
    </xf>
    <xf numFmtId="0" fontId="0" fillId="0" borderId="68" xfId="0" applyBorder="1" applyAlignment="1">
      <alignment horizontal="center" vertical="center"/>
    </xf>
    <xf numFmtId="0" fontId="1" fillId="0" borderId="60" xfId="0" applyFont="1" applyBorder="1" applyAlignment="1">
      <alignment horizontal="center"/>
    </xf>
    <xf numFmtId="0" fontId="1" fillId="0" borderId="56" xfId="0" applyFont="1" applyBorder="1" applyAlignment="1">
      <alignment wrapText="1"/>
    </xf>
    <xf numFmtId="0" fontId="0" fillId="0" borderId="56" xfId="0" applyBorder="1"/>
    <xf numFmtId="0" fontId="0" fillId="0" borderId="56" xfId="0" applyBorder="1" applyAlignment="1">
      <alignment wrapText="1"/>
    </xf>
    <xf numFmtId="0" fontId="0" fillId="0" borderId="56" xfId="0" applyBorder="1" applyAlignment="1">
      <alignment horizontal="center" vertical="center"/>
    </xf>
    <xf numFmtId="0" fontId="0" fillId="0" borderId="69" xfId="0" applyBorder="1" applyAlignment="1">
      <alignment horizontal="center" vertical="center"/>
    </xf>
    <xf numFmtId="0" fontId="0" fillId="0" borderId="43" xfId="0" applyFont="1" applyFill="1" applyBorder="1" applyAlignment="1">
      <alignment horizontal="left" vertical="center" wrapText="1"/>
    </xf>
    <xf numFmtId="0" fontId="0" fillId="0" borderId="45" xfId="0" applyFont="1" applyFill="1" applyBorder="1" applyAlignment="1">
      <alignment horizontal="left" vertical="center" wrapText="1"/>
    </xf>
    <xf numFmtId="0" fontId="1" fillId="0" borderId="0" xfId="0" applyFont="1"/>
    <xf numFmtId="2" fontId="1" fillId="0" borderId="0" xfId="0" applyNumberFormat="1" applyFont="1"/>
    <xf numFmtId="0" fontId="10" fillId="6" borderId="0" xfId="0" applyFont="1" applyFill="1"/>
    <xf numFmtId="0" fontId="10" fillId="6" borderId="66" xfId="0" applyFont="1" applyFill="1" applyBorder="1"/>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18" xfId="0" applyBorder="1" applyAlignment="1">
      <alignment horizontal="center" vertical="center"/>
    </xf>
    <xf numFmtId="0" fontId="1" fillId="0" borderId="3" xfId="0" applyFont="1" applyBorder="1" applyAlignment="1">
      <alignment horizontal="left"/>
    </xf>
    <xf numFmtId="0" fontId="1" fillId="0" borderId="5" xfId="0" applyFont="1" applyBorder="1" applyAlignment="1">
      <alignment horizontal="left"/>
    </xf>
    <xf numFmtId="0" fontId="1" fillId="0" borderId="4" xfId="0" applyFont="1" applyBorder="1" applyAlignment="1">
      <alignment horizontal="left"/>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30" xfId="0" applyFont="1" applyBorder="1" applyAlignment="1">
      <alignment horizontal="center" vertical="center"/>
    </xf>
    <xf numFmtId="0" fontId="1" fillId="0" borderId="23" xfId="0" applyFont="1" applyBorder="1" applyAlignment="1">
      <alignment horizontal="center" vertical="center"/>
    </xf>
    <xf numFmtId="0" fontId="0" fillId="0" borderId="0" xfId="0"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3" xfId="0" applyBorder="1" applyAlignment="1">
      <alignment horizontal="left" vertical="top" wrapText="1"/>
    </xf>
    <xf numFmtId="0" fontId="0" fillId="0" borderId="9" xfId="0" applyBorder="1" applyAlignment="1">
      <alignment horizontal="left" vertical="top" wrapText="1"/>
    </xf>
    <xf numFmtId="0" fontId="0" fillId="0" borderId="64" xfId="0" applyBorder="1" applyAlignment="1">
      <alignment horizontal="left" vertical="top" wrapText="1"/>
    </xf>
    <xf numFmtId="0" fontId="0" fillId="0" borderId="65" xfId="0" applyBorder="1" applyAlignment="1">
      <alignment horizontal="left" vertical="top" wrapText="1"/>
    </xf>
    <xf numFmtId="0" fontId="0" fillId="0" borderId="0" xfId="0" applyBorder="1" applyAlignment="1">
      <alignment horizontal="left" vertical="top" wrapText="1"/>
    </xf>
    <xf numFmtId="0" fontId="0" fillId="0" borderId="66" xfId="0" applyBorder="1" applyAlignment="1">
      <alignment horizontal="left" vertical="top" wrapText="1"/>
    </xf>
    <xf numFmtId="0" fontId="0" fillId="0" borderId="46" xfId="0" applyBorder="1" applyAlignment="1">
      <alignment horizontal="left" vertical="top" wrapText="1"/>
    </xf>
    <xf numFmtId="0" fontId="0" fillId="0" borderId="61" xfId="0" applyBorder="1" applyAlignment="1">
      <alignment horizontal="left" vertical="top" wrapText="1"/>
    </xf>
    <xf numFmtId="0" fontId="0" fillId="0" borderId="62" xfId="0" applyBorder="1" applyAlignment="1">
      <alignment horizontal="left" vertical="top" wrapText="1"/>
    </xf>
    <xf numFmtId="0" fontId="1" fillId="0" borderId="44" xfId="0" applyFont="1" applyBorder="1" applyAlignment="1">
      <alignment horizontal="center" vertical="center" wrapText="1"/>
    </xf>
    <xf numFmtId="0" fontId="0" fillId="0" borderId="68" xfId="0" applyFill="1" applyBorder="1" applyAlignment="1">
      <alignment horizontal="center" vertical="center" wrapText="1"/>
    </xf>
    <xf numFmtId="0" fontId="6" fillId="5" borderId="42" xfId="0" applyFont="1" applyFill="1" applyBorder="1" applyAlignment="1">
      <alignment horizontal="center" vertical="center" wrapText="1"/>
    </xf>
    <xf numFmtId="0" fontId="6" fillId="5" borderId="67" xfId="0" applyFont="1" applyFill="1" applyBorder="1" applyAlignment="1">
      <alignment horizontal="center" vertical="center" wrapText="1"/>
    </xf>
    <xf numFmtId="0" fontId="1" fillId="0" borderId="43" xfId="0" applyFont="1" applyBorder="1" applyAlignment="1">
      <alignment horizontal="center" vertical="center" wrapText="1"/>
    </xf>
    <xf numFmtId="0" fontId="0" fillId="0" borderId="68"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 val="JIS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 val="RM_CONSUMPTION21"/>
      <sheetName val="RM_Stock21"/>
      <sheetName val="LC_Opening_&amp;_Cash_Flow21"/>
      <sheetName val="LC_summary_&amp;_WC_interest21"/>
      <sheetName val="w_oh21"/>
      <sheetName val="Sales_summary21"/>
      <sheetName val="Profit_Final21"/>
      <sheetName val="Profit_with_trial_run)21"/>
      <sheetName val="Month_Outlook21"/>
      <sheetName val="DRI_stock_balncing21"/>
      <sheetName val="HM_Plan_Entry21"/>
      <sheetName val="SMS_Entry21"/>
      <sheetName val="Mills_Entry21"/>
      <sheetName val="AGG_entry21"/>
      <sheetName val="HM-SMS_Plan_&amp;_Actual21"/>
      <sheetName val="Plan_vs_Actual21"/>
      <sheetName val="AGG_PLAN_VS_actual21"/>
      <sheetName val="Mills_Plan_&amp;_Actual21"/>
      <sheetName val="Paste_frm_MP_sheet(Plan_vs_ac21"/>
      <sheetName val="Title_Page20"/>
      <sheetName val="RM_CONSUMPTION22"/>
      <sheetName val="RM_Stock22"/>
      <sheetName val="LC_Opening_&amp;_Cash_Flow22"/>
      <sheetName val="LC_summary_&amp;_WC_interest22"/>
      <sheetName val="w_oh22"/>
      <sheetName val="Sales_summary22"/>
      <sheetName val="Profit_Final22"/>
      <sheetName val="Profit_with_trial_run)22"/>
      <sheetName val="Month_Outlook22"/>
      <sheetName val="DRI_stock_balncing22"/>
      <sheetName val="HM_Plan_Entry22"/>
      <sheetName val="SMS_Entry22"/>
      <sheetName val="Mills_Entry22"/>
      <sheetName val="AGG_entry22"/>
      <sheetName val="HM-SMS_Plan_&amp;_Actual22"/>
      <sheetName val="Plan_vs_Actual22"/>
      <sheetName val="AGG_PLAN_VS_actual22"/>
      <sheetName val="Mills_Plan_&amp;_Actual22"/>
      <sheetName val="Paste_frm_MP_sheet(Plan_vs_ac22"/>
      <sheetName val="Title_Page21"/>
      <sheetName val="RM_CONSUMPTION23"/>
      <sheetName val="RM_Stock23"/>
      <sheetName val="LC_Opening_&amp;_Cash_Flow23"/>
      <sheetName val="LC_summary_&amp;_WC_interest23"/>
      <sheetName val="w_oh23"/>
      <sheetName val="Sales_summary23"/>
      <sheetName val="Profit_Final23"/>
      <sheetName val="Profit_with_trial_run)23"/>
      <sheetName val="Month_Outlook23"/>
      <sheetName val="DRI_stock_balncing23"/>
      <sheetName val="HM_Plan_Entry23"/>
      <sheetName val="SMS_Entry23"/>
      <sheetName val="Mills_Entry23"/>
      <sheetName val="AGG_entry23"/>
      <sheetName val="HM-SMS_Plan_&amp;_Actual23"/>
      <sheetName val="Plan_vs_Actual23"/>
      <sheetName val="AGG_PLAN_VS_actual23"/>
      <sheetName val="Mills_Plan_&amp;_Actual23"/>
      <sheetName val="Paste_frm_MP_sheet(Plan_vs_ac23"/>
      <sheetName val="Title_Page22"/>
      <sheetName val="RM_CONSUMPTION25"/>
      <sheetName val="RM_Stock25"/>
      <sheetName val="LC_Opening_&amp;_Cash_Flow25"/>
      <sheetName val="LC_summary_&amp;_WC_interest25"/>
      <sheetName val="w_oh25"/>
      <sheetName val="Sales_summary25"/>
      <sheetName val="Profit_Final25"/>
      <sheetName val="Profit_with_trial_run)25"/>
      <sheetName val="Month_Outlook25"/>
      <sheetName val="DRI_stock_balncing25"/>
      <sheetName val="HM_Plan_Entry25"/>
      <sheetName val="SMS_Entry25"/>
      <sheetName val="Mills_Entry25"/>
      <sheetName val="AGG_entry25"/>
      <sheetName val="HM-SMS_Plan_&amp;_Actual25"/>
      <sheetName val="Plan_vs_Actual25"/>
      <sheetName val="AGG_PLAN_VS_actual25"/>
      <sheetName val="Mills_Plan_&amp;_Actual25"/>
      <sheetName val="Paste_frm_MP_sheet(Plan_vs_ac25"/>
      <sheetName val="Title_Page24"/>
      <sheetName val="RM_CONSUMPTION24"/>
      <sheetName val="RM_Stock24"/>
      <sheetName val="LC_Opening_&amp;_Cash_Flow24"/>
      <sheetName val="LC_summary_&amp;_WC_interest24"/>
      <sheetName val="w_oh24"/>
      <sheetName val="Sales_summary24"/>
      <sheetName val="Profit_Final24"/>
      <sheetName val="Profit_with_trial_run)24"/>
      <sheetName val="Month_Outlook24"/>
      <sheetName val="DRI_stock_balncing24"/>
      <sheetName val="HM_Plan_Entry24"/>
      <sheetName val="SMS_Entry24"/>
      <sheetName val="Mills_Entry24"/>
      <sheetName val="AGG_entry24"/>
      <sheetName val="HM-SMS_Plan_&amp;_Actual24"/>
      <sheetName val="Plan_vs_Actual24"/>
      <sheetName val="AGG_PLAN_VS_actual24"/>
      <sheetName val="Mills_Plan_&amp;_Actual24"/>
      <sheetName val="Paste_frm_MP_sheet(Plan_vs_ac24"/>
      <sheetName val="Title_Page23"/>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 val="Sensitive Analysis"/>
      <sheetName val="P&amp;L February"/>
      <sheetName val="P&amp;L Feb 2001 cumulative"/>
      <sheetName val="DAILY_REP28"/>
      <sheetName val="DELAREA_28"/>
      <sheetName val="Org_Chart28"/>
      <sheetName val="ADAMYA_FINAL_SHEET27"/>
      <sheetName val="Int_-_Cum0227"/>
      <sheetName val="R_MTL22"/>
      <sheetName val="Ins_Erection22"/>
      <sheetName val="Other_Notes22"/>
      <sheetName val="Reff_121"/>
      <sheetName val="pack_pnl-9920"/>
      <sheetName val="Meta_data20"/>
      <sheetName val="os_gl_ac19"/>
      <sheetName val="Input_Master7"/>
      <sheetName val="SALES_SUMMARY7"/>
      <sheetName val="DAILY_REP29"/>
      <sheetName val="DELAREA_29"/>
      <sheetName val="Org_Chart29"/>
      <sheetName val="ADAMYA_FINAL_SHEET28"/>
      <sheetName val="Int_-_Cum0228"/>
      <sheetName val="R_MTL23"/>
      <sheetName val="Ins_Erection23"/>
      <sheetName val="Other_Notes23"/>
      <sheetName val="Reff_122"/>
      <sheetName val="pack_pnl-9921"/>
      <sheetName val="Meta_data21"/>
      <sheetName val="os_gl_ac20"/>
      <sheetName val="Input_Master8"/>
      <sheetName val="SALES_SUMMARY8"/>
      <sheetName val="DAILY_REP30"/>
      <sheetName val="DELAREA_30"/>
      <sheetName val="Org_Chart30"/>
      <sheetName val="ADAMYA_FINAL_SHEET29"/>
      <sheetName val="Int_-_Cum0229"/>
      <sheetName val="R_MTL24"/>
      <sheetName val="Ins_Erection24"/>
      <sheetName val="Other_Notes24"/>
      <sheetName val="Reff_123"/>
      <sheetName val="pack_pnl-9922"/>
      <sheetName val="Meta_data22"/>
      <sheetName val="os_gl_ac21"/>
      <sheetName val="Input_Master9"/>
      <sheetName val="SALES_SUMMARY9"/>
      <sheetName val="DAILY_REP32"/>
      <sheetName val="DELAREA_32"/>
      <sheetName val="Org_Chart32"/>
      <sheetName val="ADAMYA_FINAL_SHEET31"/>
      <sheetName val="Int_-_Cum0231"/>
      <sheetName val="R_MTL26"/>
      <sheetName val="Ins_Erection26"/>
      <sheetName val="Other_Notes26"/>
      <sheetName val="Reff_125"/>
      <sheetName val="pack_pnl-9924"/>
      <sheetName val="Meta_data24"/>
      <sheetName val="os_gl_ac23"/>
      <sheetName val="Input_Master11"/>
      <sheetName val="SALES_SUMMARY11"/>
      <sheetName val="DAILY_REP31"/>
      <sheetName val="DELAREA_31"/>
      <sheetName val="Org_Chart31"/>
      <sheetName val="ADAMYA_FINAL_SHEET30"/>
      <sheetName val="Int_-_Cum0230"/>
      <sheetName val="R_MTL25"/>
      <sheetName val="Ins_Erection25"/>
      <sheetName val="Other_Notes25"/>
      <sheetName val="Reff_124"/>
      <sheetName val="pack_pnl-9923"/>
      <sheetName val="Meta_data23"/>
      <sheetName val="os_gl_ac22"/>
      <sheetName val="Input_Master10"/>
      <sheetName val="SALES_SUMMARY10"/>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efreshError="1"/>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 val="Int_-_Cum0224"/>
      <sheetName val="DAILY_REPORT22"/>
      <sheetName val="labour_coeff21"/>
      <sheetName val="Sales_by_Month20"/>
      <sheetName val="SALES_SUMMARY7"/>
      <sheetName val="Int_-_Cum0225"/>
      <sheetName val="DAILY_REPORT23"/>
      <sheetName val="labour_coeff22"/>
      <sheetName val="Sales_by_Month21"/>
      <sheetName val="SALES_SUMMARY8"/>
      <sheetName val="Int_-_Cum0226"/>
      <sheetName val="DAILY_REPORT24"/>
      <sheetName val="labour_coeff23"/>
      <sheetName val="Sales_by_Month22"/>
      <sheetName val="SALES_SUMMARY9"/>
      <sheetName val="Int_-_Cum0228"/>
      <sheetName val="DAILY_REPORT26"/>
      <sheetName val="labour_coeff25"/>
      <sheetName val="Sales_by_Month24"/>
      <sheetName val="SALES_SUMMARY11"/>
      <sheetName val="Int_-_Cum0227"/>
      <sheetName val="DAILY_REPORT25"/>
      <sheetName val="labour_coeff24"/>
      <sheetName val="Sales_by_Month23"/>
      <sheetName val="SALES_SUMMARY10"/>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 val="Profit-Reco_1"/>
      <sheetName val="Meltshop_Consump"/>
      <sheetName val="Assumptions"/>
      <sheetName val="EMPMAST"/>
      <sheetName val="MM1"/>
      <sheetName val="Profit-Reco_2"/>
      <sheetName val="Meltshop_Consump1"/>
      <sheetName val="Profit-Reco_3"/>
      <sheetName val="Meltshop_Consump2"/>
      <sheetName val="Profit-Reco_4"/>
      <sheetName val="Meltshop_Consump3"/>
      <sheetName val="Profit-Reco_5"/>
      <sheetName val="Meltshop_Consump4"/>
      <sheetName val="Profit-Reco_6"/>
      <sheetName val="Meltshop_Consump5"/>
      <sheetName val="Profit-Reco_7"/>
      <sheetName val="Meltshop_Consump6"/>
      <sheetName val="Profit-Reco_8"/>
      <sheetName val="Meltshop_Consump7"/>
      <sheetName val="Profit-Reco_9"/>
      <sheetName val="Meltshop_Consump8"/>
      <sheetName val="Profit-Reco_10"/>
      <sheetName val="Meltshop_Consump9"/>
      <sheetName val="Profit-Reco_11"/>
      <sheetName val="Meltshop_Consump10"/>
      <sheetName val="Profit-Reco_12"/>
      <sheetName val="Meltshop_Consump11"/>
      <sheetName val="Profit-Reco_13"/>
      <sheetName val="Meltshop_Consump12"/>
      <sheetName val="Profit-Reco_15"/>
      <sheetName val="Meltshop_Consump14"/>
      <sheetName val="Profit-Reco_14"/>
      <sheetName val="Meltshop_Consump13"/>
      <sheetName val="Profit-Reco_16"/>
      <sheetName val="Meltshop_Consump15"/>
      <sheetName val="Profit-Reco_18"/>
      <sheetName val="Meltshop_Consump17"/>
      <sheetName val="Profit-Reco_17"/>
      <sheetName val="Meltshop_Consump16"/>
      <sheetName val="CRM Data"/>
      <sheetName val="Daily_Diver"/>
      <sheetName val="GPDATA"/>
      <sheetName val="FORMAT"/>
      <sheetName val="Exp"/>
      <sheetName val="ADAMYA FINAL SHEET"/>
      <sheetName val="Structure"/>
      <sheetName val="logfeb"/>
      <sheetName val="Profit-Reco_19"/>
      <sheetName val="Meltshop_Consump18"/>
      <sheetName val="Profit-Reco_20"/>
      <sheetName val="Meltshop_Consump19"/>
      <sheetName val="Profit-Reco_21"/>
      <sheetName val="Meltshop_Consump20"/>
      <sheetName val="Profit-Reco_23"/>
      <sheetName val="Meltshop_Consump22"/>
      <sheetName val="Profit-Reco_22"/>
      <sheetName val="Meltshop_Consump21"/>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 val="Amortization Table"/>
      <sheetName val="ON_LINE28"/>
      <sheetName val="Bar_chrt28"/>
      <sheetName val="DEbt_(2)28"/>
      <sheetName val="UB-3-Break_up22"/>
      <sheetName val="Hot_Metal22"/>
      <sheetName val="Basic_data21"/>
      <sheetName val="NOA_Data20"/>
      <sheetName val="Exim_FCL20"/>
      <sheetName val="Different_Dates20"/>
      <sheetName val="os_liabilities_analysis19"/>
      <sheetName val="fixed_deposit_details7"/>
      <sheetName val="CRM_Data7"/>
      <sheetName val="ON_LINE29"/>
      <sheetName val="Bar_chrt29"/>
      <sheetName val="DEbt_(2)29"/>
      <sheetName val="UB-3-Break_up23"/>
      <sheetName val="Hot_Metal23"/>
      <sheetName val="Basic_data22"/>
      <sheetName val="NOA_Data21"/>
      <sheetName val="Exim_FCL21"/>
      <sheetName val="Different_Dates21"/>
      <sheetName val="os_liabilities_analysis20"/>
      <sheetName val="fixed_deposit_details8"/>
      <sheetName val="CRM_Data8"/>
      <sheetName val="ON_LINE30"/>
      <sheetName val="Bar_chrt30"/>
      <sheetName val="DEbt_(2)30"/>
      <sheetName val="UB-3-Break_up24"/>
      <sheetName val="Hot_Metal24"/>
      <sheetName val="Basic_data23"/>
      <sheetName val="NOA_Data22"/>
      <sheetName val="Exim_FCL22"/>
      <sheetName val="Different_Dates22"/>
      <sheetName val="os_liabilities_analysis21"/>
      <sheetName val="fixed_deposit_details9"/>
      <sheetName val="CRM_Data9"/>
      <sheetName val="ON_LINE32"/>
      <sheetName val="Bar_chrt32"/>
      <sheetName val="DEbt_(2)32"/>
      <sheetName val="UB-3-Break_up26"/>
      <sheetName val="Hot_Metal26"/>
      <sheetName val="Basic_data25"/>
      <sheetName val="NOA_Data24"/>
      <sheetName val="Exim_FCL24"/>
      <sheetName val="Different_Dates24"/>
      <sheetName val="os_liabilities_analysis23"/>
      <sheetName val="fixed_deposit_details11"/>
      <sheetName val="CRM_Data11"/>
      <sheetName val="ON_LINE31"/>
      <sheetName val="Bar_chrt31"/>
      <sheetName val="DEbt_(2)31"/>
      <sheetName val="UB-3-Break_up25"/>
      <sheetName val="Hot_Metal25"/>
      <sheetName val="Basic_data24"/>
      <sheetName val="NOA_Data23"/>
      <sheetName val="Exim_FCL23"/>
      <sheetName val="Different_Dates23"/>
      <sheetName val="os_liabilities_analysis22"/>
      <sheetName val="fixed_deposit_details10"/>
      <sheetName val="CRM_Data10"/>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 val="os liabilities analysis"/>
      <sheetName val="DAILY_REP25"/>
      <sheetName val="JSW_ISPAT_Acceptance_status24"/>
      <sheetName val="JSW_ISPAT_payment24"/>
      <sheetName val="cwip_wm_822"/>
      <sheetName val="SALES_SUMMARY21"/>
      <sheetName val="Rev_19"/>
      <sheetName val="KBI_Input7"/>
      <sheetName val="Invested_capital_VDF7"/>
      <sheetName val="SCH_107"/>
      <sheetName val="CRM_Data7"/>
      <sheetName val="gain_loss4"/>
      <sheetName val="DAILY_REP26"/>
      <sheetName val="JSW_ISPAT_Acceptance_status25"/>
      <sheetName val="JSW_ISPAT_payment25"/>
      <sheetName val="cwip_wm_823"/>
      <sheetName val="SALES_SUMMARY22"/>
      <sheetName val="Rev_20"/>
      <sheetName val="KBI_Input8"/>
      <sheetName val="Invested_capital_VDF8"/>
      <sheetName val="SCH_108"/>
      <sheetName val="CRM_Data8"/>
      <sheetName val="gain_loss5"/>
      <sheetName val="DAILY_REP27"/>
      <sheetName val="JSW_ISPAT_Acceptance_status26"/>
      <sheetName val="JSW_ISPAT_payment26"/>
      <sheetName val="cwip_wm_824"/>
      <sheetName val="SALES_SUMMARY23"/>
      <sheetName val="Rev_21"/>
      <sheetName val="KBI_Input9"/>
      <sheetName val="Invested_capital_VDF9"/>
      <sheetName val="SCH_109"/>
      <sheetName val="CRM_Data9"/>
      <sheetName val="gain_loss6"/>
      <sheetName val="DAILY_REP29"/>
      <sheetName val="JSW_ISPAT_Acceptance_status28"/>
      <sheetName val="JSW_ISPAT_payment28"/>
      <sheetName val="cwip_wm_826"/>
      <sheetName val="SALES_SUMMARY25"/>
      <sheetName val="Rev_23"/>
      <sheetName val="KBI_Input11"/>
      <sheetName val="Invested_capital_VDF11"/>
      <sheetName val="SCH_1011"/>
      <sheetName val="CRM_Data11"/>
      <sheetName val="gain_loss8"/>
      <sheetName val="DAILY_REP28"/>
      <sheetName val="JSW_ISPAT_Acceptance_status27"/>
      <sheetName val="JSW_ISPAT_payment27"/>
      <sheetName val="cwip_wm_825"/>
      <sheetName val="SALES_SUMMARY24"/>
      <sheetName val="Rev_22"/>
      <sheetName val="KBI_Input10"/>
      <sheetName val="Invested_capital_VDF10"/>
      <sheetName val="SCH_1010"/>
      <sheetName val="CRM_Data10"/>
      <sheetName val="gain_loss7"/>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 val="Rev Rates"/>
      <sheetName val="DQR data Backup file"/>
      <sheetName val="NCO_MTD"/>
      <sheetName val="Cumulative_Production28"/>
      <sheetName val="%_Prime28"/>
      <sheetName val="Yield_Util28"/>
      <sheetName val="CGL-1_UTL23"/>
      <sheetName val="CGL-2_UTL23"/>
      <sheetName val="LA-_lookups22"/>
      <sheetName val="Other_assumptions22"/>
      <sheetName val="Int__workings22"/>
      <sheetName val="cwip_wm_822"/>
      <sheetName val="HSM1_NCO22"/>
      <sheetName val="Fruit_-_Year_200621"/>
      <sheetName val="margin_21"/>
      <sheetName val="Common_CoA7"/>
      <sheetName val="List_of_Vendors7"/>
      <sheetName val="All_Trend4"/>
      <sheetName val="Cumulative_Production29"/>
      <sheetName val="%_Prime29"/>
      <sheetName val="Yield_Util29"/>
      <sheetName val="CGL-1_UTL24"/>
      <sheetName val="CGL-2_UTL24"/>
      <sheetName val="LA-_lookups23"/>
      <sheetName val="Other_assumptions23"/>
      <sheetName val="Int__workings23"/>
      <sheetName val="cwip_wm_823"/>
      <sheetName val="HSM1_NCO23"/>
      <sheetName val="Fruit_-_Year_200622"/>
      <sheetName val="margin_22"/>
      <sheetName val="Common_CoA8"/>
      <sheetName val="List_of_Vendors8"/>
      <sheetName val="All_Trend5"/>
      <sheetName val="Cumulative_Production30"/>
      <sheetName val="%_Prime30"/>
      <sheetName val="Yield_Util30"/>
      <sheetName val="CGL-1_UTL25"/>
      <sheetName val="CGL-2_UTL25"/>
      <sheetName val="LA-_lookups24"/>
      <sheetName val="Other_assumptions24"/>
      <sheetName val="Int__workings24"/>
      <sheetName val="cwip_wm_824"/>
      <sheetName val="HSM1_NCO24"/>
      <sheetName val="Fruit_-_Year_200623"/>
      <sheetName val="margin_23"/>
      <sheetName val="Common_CoA9"/>
      <sheetName val="List_of_Vendors9"/>
      <sheetName val="All_Trend6"/>
      <sheetName val="Cumulative_Production32"/>
      <sheetName val="%_Prime32"/>
      <sheetName val="Yield_Util32"/>
      <sheetName val="CGL-1_UTL27"/>
      <sheetName val="CGL-2_UTL27"/>
      <sheetName val="LA-_lookups26"/>
      <sheetName val="Other_assumptions26"/>
      <sheetName val="Int__workings26"/>
      <sheetName val="cwip_wm_826"/>
      <sheetName val="HSM1_NCO26"/>
      <sheetName val="Fruit_-_Year_200625"/>
      <sheetName val="margin_25"/>
      <sheetName val="Common_CoA11"/>
      <sheetName val="List_of_Vendors11"/>
      <sheetName val="All_Trend8"/>
      <sheetName val="Cumulative_Production31"/>
      <sheetName val="%_Prime31"/>
      <sheetName val="Yield_Util31"/>
      <sheetName val="CGL-1_UTL26"/>
      <sheetName val="CGL-2_UTL26"/>
      <sheetName val="LA-_lookups25"/>
      <sheetName val="Other_assumptions25"/>
      <sheetName val="Int__workings25"/>
      <sheetName val="cwip_wm_825"/>
      <sheetName val="HSM1_NCO25"/>
      <sheetName val="Fruit_-_Year_200624"/>
      <sheetName val="margin_24"/>
      <sheetName val="Common_CoA10"/>
      <sheetName val="List_of_Vendors10"/>
      <sheetName val="All_Trend7"/>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 val="CGL-1_UTL21"/>
      <sheetName val="CGL-2_UTL21"/>
      <sheetName val="PHY_STOCK_OF_AUG__0021"/>
      <sheetName val="DEbt_(2)7"/>
      <sheetName val="CGL-1_UTL22"/>
      <sheetName val="CGL-2_UTL22"/>
      <sheetName val="PHY_STOCK_OF_AUG__0022"/>
      <sheetName val="DEbt_(2)8"/>
      <sheetName val="CGL-1_UTL23"/>
      <sheetName val="CGL-2_UTL23"/>
      <sheetName val="PHY_STOCK_OF_AUG__0023"/>
      <sheetName val="DEbt_(2)9"/>
      <sheetName val="CGL-1_UTL25"/>
      <sheetName val="CGL-2_UTL25"/>
      <sheetName val="PHY_STOCK_OF_AUG__0025"/>
      <sheetName val="DEbt_(2)11"/>
      <sheetName val="CGL-1_UTL24"/>
      <sheetName val="CGL-2_UTL24"/>
      <sheetName val="PHY_STOCK_OF_AUG__0024"/>
      <sheetName val="DEbt_(2)10"/>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O5" sqref="O5"/>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92"/>
      <c r="B1" s="93"/>
      <c r="C1" s="94" t="s">
        <v>245</v>
      </c>
      <c r="D1" s="95"/>
      <c r="E1" s="95"/>
      <c r="F1" s="95"/>
      <c r="G1" s="95"/>
      <c r="H1" s="95"/>
      <c r="I1" s="95"/>
      <c r="J1" s="95"/>
      <c r="K1" s="95"/>
      <c r="L1" s="95"/>
      <c r="M1" s="96"/>
    </row>
    <row r="2" spans="1:13" ht="29.25" customHeight="1" thickBot="1" x14ac:dyDescent="0.3">
      <c r="A2" s="1" t="s">
        <v>0</v>
      </c>
      <c r="B2" s="2" t="s">
        <v>1</v>
      </c>
      <c r="C2" s="3" t="s">
        <v>2</v>
      </c>
      <c r="D2" s="4" t="s">
        <v>3</v>
      </c>
      <c r="E2" s="4" t="s">
        <v>4</v>
      </c>
      <c r="F2" s="4" t="s">
        <v>5</v>
      </c>
      <c r="G2" s="5" t="s">
        <v>6</v>
      </c>
      <c r="H2" s="6" t="s">
        <v>7</v>
      </c>
      <c r="I2" s="7" t="s">
        <v>8</v>
      </c>
      <c r="J2" s="97" t="s">
        <v>9</v>
      </c>
      <c r="K2" s="98"/>
      <c r="L2" s="98"/>
      <c r="M2" s="99"/>
    </row>
    <row r="3" spans="1:13" ht="37.5" customHeight="1" x14ac:dyDescent="0.25">
      <c r="A3" s="100">
        <v>1</v>
      </c>
      <c r="B3" s="103" t="s">
        <v>10</v>
      </c>
      <c r="C3" s="106" t="s">
        <v>11</v>
      </c>
      <c r="D3" s="109" t="s">
        <v>12</v>
      </c>
      <c r="E3" s="109" t="s">
        <v>13</v>
      </c>
      <c r="F3" s="109" t="s">
        <v>14</v>
      </c>
      <c r="G3" s="109" t="s">
        <v>15</v>
      </c>
      <c r="H3" s="112" t="s">
        <v>16</v>
      </c>
      <c r="I3" s="115"/>
      <c r="J3" s="117"/>
      <c r="K3" s="118"/>
      <c r="L3" s="118"/>
      <c r="M3" s="119"/>
    </row>
    <row r="4" spans="1:13" x14ac:dyDescent="0.25">
      <c r="A4" s="101"/>
      <c r="B4" s="104"/>
      <c r="C4" s="107"/>
      <c r="D4" s="110"/>
      <c r="E4" s="110"/>
      <c r="F4" s="110"/>
      <c r="G4" s="110"/>
      <c r="H4" s="113"/>
      <c r="I4" s="115"/>
      <c r="J4" s="120"/>
      <c r="K4" s="121"/>
      <c r="L4" s="121"/>
      <c r="M4" s="122"/>
    </row>
    <row r="5" spans="1:13" ht="15.75" thickBot="1" x14ac:dyDescent="0.3">
      <c r="A5" s="102"/>
      <c r="B5" s="105"/>
      <c r="C5" s="108"/>
      <c r="D5" s="111"/>
      <c r="E5" s="111"/>
      <c r="F5" s="111"/>
      <c r="G5" s="111"/>
      <c r="H5" s="114"/>
      <c r="I5" s="116"/>
      <c r="J5" s="123"/>
      <c r="K5" s="124"/>
      <c r="L5" s="124"/>
      <c r="M5" s="125"/>
    </row>
    <row r="6" spans="1:13" x14ac:dyDescent="0.25">
      <c r="A6" s="126">
        <v>2</v>
      </c>
      <c r="B6" s="129" t="s">
        <v>17</v>
      </c>
      <c r="C6" s="132" t="s">
        <v>18</v>
      </c>
      <c r="D6" s="135" t="s">
        <v>19</v>
      </c>
      <c r="E6" s="135" t="s">
        <v>20</v>
      </c>
      <c r="F6" s="135" t="s">
        <v>21</v>
      </c>
      <c r="G6" s="138" t="s">
        <v>22</v>
      </c>
      <c r="H6" s="144" t="s">
        <v>23</v>
      </c>
      <c r="I6" s="147"/>
      <c r="J6" s="117"/>
      <c r="K6" s="118"/>
      <c r="L6" s="118"/>
      <c r="M6" s="119"/>
    </row>
    <row r="7" spans="1:13" ht="25.5" customHeight="1" x14ac:dyDescent="0.25">
      <c r="A7" s="127"/>
      <c r="B7" s="130"/>
      <c r="C7" s="133"/>
      <c r="D7" s="136"/>
      <c r="E7" s="136"/>
      <c r="F7" s="136"/>
      <c r="G7" s="139"/>
      <c r="H7" s="145"/>
      <c r="I7" s="115"/>
      <c r="J7" s="120"/>
      <c r="K7" s="121"/>
      <c r="L7" s="121"/>
      <c r="M7" s="122"/>
    </row>
    <row r="8" spans="1:13" ht="25.5" customHeight="1" x14ac:dyDescent="0.25">
      <c r="A8" s="127"/>
      <c r="B8" s="130"/>
      <c r="C8" s="133"/>
      <c r="D8" s="136"/>
      <c r="E8" s="136"/>
      <c r="F8" s="136"/>
      <c r="G8" s="139"/>
      <c r="H8" s="145"/>
      <c r="I8" s="115"/>
      <c r="J8" s="120"/>
      <c r="K8" s="121"/>
      <c r="L8" s="121"/>
      <c r="M8" s="122"/>
    </row>
    <row r="9" spans="1:13" ht="23.25" customHeight="1" thickBot="1" x14ac:dyDescent="0.3">
      <c r="A9" s="128"/>
      <c r="B9" s="131"/>
      <c r="C9" s="134"/>
      <c r="D9" s="137"/>
      <c r="E9" s="137"/>
      <c r="F9" s="137"/>
      <c r="G9" s="140"/>
      <c r="H9" s="146"/>
      <c r="I9" s="116"/>
      <c r="J9" s="120"/>
      <c r="K9" s="121"/>
      <c r="L9" s="121"/>
      <c r="M9" s="122"/>
    </row>
    <row r="10" spans="1:13" ht="63" customHeight="1" thickBot="1" x14ac:dyDescent="0.3">
      <c r="A10" s="8">
        <v>3</v>
      </c>
      <c r="B10" s="9" t="s">
        <v>24</v>
      </c>
      <c r="C10" s="10" t="s">
        <v>25</v>
      </c>
      <c r="D10" s="11" t="s">
        <v>26</v>
      </c>
      <c r="E10" s="11" t="s">
        <v>27</v>
      </c>
      <c r="F10" s="12" t="s">
        <v>28</v>
      </c>
      <c r="G10" s="12" t="s">
        <v>29</v>
      </c>
      <c r="H10" s="13" t="s">
        <v>30</v>
      </c>
      <c r="I10" s="14"/>
      <c r="J10" s="141"/>
      <c r="K10" s="142"/>
      <c r="L10" s="142"/>
      <c r="M10" s="143"/>
    </row>
    <row r="11" spans="1:13" ht="84.75" customHeight="1" thickBot="1" x14ac:dyDescent="0.3">
      <c r="A11" s="8">
        <v>4</v>
      </c>
      <c r="B11" s="15" t="s">
        <v>31</v>
      </c>
      <c r="C11" s="16" t="s">
        <v>32</v>
      </c>
      <c r="D11" s="17" t="s">
        <v>33</v>
      </c>
      <c r="E11" s="18" t="s">
        <v>34</v>
      </c>
      <c r="F11" s="17" t="s">
        <v>35</v>
      </c>
      <c r="G11" s="17" t="s">
        <v>36</v>
      </c>
      <c r="H11" s="19" t="s">
        <v>37</v>
      </c>
      <c r="I11" s="20"/>
      <c r="J11" s="117"/>
      <c r="K11" s="118"/>
      <c r="L11" s="118"/>
      <c r="M11" s="119"/>
    </row>
    <row r="12" spans="1:13" ht="78" customHeight="1" thickBot="1" x14ac:dyDescent="0.3">
      <c r="A12" s="21">
        <v>5</v>
      </c>
      <c r="B12" s="22" t="s">
        <v>38</v>
      </c>
      <c r="C12" s="16" t="s">
        <v>39</v>
      </c>
      <c r="D12" s="17" t="s">
        <v>40</v>
      </c>
      <c r="E12" s="18" t="s">
        <v>41</v>
      </c>
      <c r="F12" s="17" t="s">
        <v>42</v>
      </c>
      <c r="G12" s="17" t="s">
        <v>43</v>
      </c>
      <c r="H12" s="23" t="s">
        <v>44</v>
      </c>
      <c r="I12" s="20"/>
      <c r="J12" s="141"/>
      <c r="K12" s="142"/>
      <c r="L12" s="142"/>
      <c r="M12" s="143"/>
    </row>
    <row r="13" spans="1:13" ht="77.25" thickBot="1" x14ac:dyDescent="0.3">
      <c r="A13" s="21">
        <v>6</v>
      </c>
      <c r="B13" s="22" t="s">
        <v>45</v>
      </c>
      <c r="C13" s="16" t="s">
        <v>46</v>
      </c>
      <c r="D13" s="17" t="s">
        <v>47</v>
      </c>
      <c r="E13" s="18" t="s">
        <v>48</v>
      </c>
      <c r="F13" s="17" t="s">
        <v>49</v>
      </c>
      <c r="G13" s="17" t="s">
        <v>50</v>
      </c>
      <c r="H13" s="23" t="s">
        <v>51</v>
      </c>
      <c r="I13" s="20"/>
      <c r="J13" s="141"/>
      <c r="K13" s="142"/>
      <c r="L13" s="142"/>
      <c r="M13" s="143"/>
    </row>
    <row r="14" spans="1:13" ht="64.5" thickBot="1" x14ac:dyDescent="0.3">
      <c r="A14" s="21">
        <v>7</v>
      </c>
      <c r="B14" s="22" t="s">
        <v>52</v>
      </c>
      <c r="C14" s="16" t="s">
        <v>53</v>
      </c>
      <c r="D14" s="17" t="s">
        <v>54</v>
      </c>
      <c r="E14" s="18" t="s">
        <v>55</v>
      </c>
      <c r="F14" s="17" t="s">
        <v>56</v>
      </c>
      <c r="G14" s="17" t="s">
        <v>57</v>
      </c>
      <c r="H14" s="23" t="s">
        <v>58</v>
      </c>
      <c r="I14" s="20"/>
      <c r="J14" s="141"/>
      <c r="K14" s="142"/>
      <c r="L14" s="142"/>
      <c r="M14" s="143"/>
    </row>
  </sheetData>
  <mergeCells count="28">
    <mergeCell ref="F6:F9"/>
    <mergeCell ref="G6:G9"/>
    <mergeCell ref="J13:M13"/>
    <mergeCell ref="J14:M14"/>
    <mergeCell ref="H6:H9"/>
    <mergeCell ref="I6:I9"/>
    <mergeCell ref="J6:M9"/>
    <mergeCell ref="J10:M10"/>
    <mergeCell ref="J11:M11"/>
    <mergeCell ref="J12:M12"/>
    <mergeCell ref="A6:A9"/>
    <mergeCell ref="B6:B9"/>
    <mergeCell ref="C6:C9"/>
    <mergeCell ref="D6:D9"/>
    <mergeCell ref="E6:E9"/>
    <mergeCell ref="A1:B1"/>
    <mergeCell ref="C1:M1"/>
    <mergeCell ref="J2:M2"/>
    <mergeCell ref="A3:A5"/>
    <mergeCell ref="B3:B5"/>
    <mergeCell ref="C3:C5"/>
    <mergeCell ref="D3:D5"/>
    <mergeCell ref="E3:E5"/>
    <mergeCell ref="F3:F5"/>
    <mergeCell ref="G3:G5"/>
    <mergeCell ref="H3:H5"/>
    <mergeCell ref="I3:I5"/>
    <mergeCell ref="J3:M5"/>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48" t="s">
        <v>59</v>
      </c>
      <c r="B1" s="150" t="s">
        <v>60</v>
      </c>
      <c r="C1" s="152" t="s">
        <v>2</v>
      </c>
      <c r="D1" s="154" t="s">
        <v>61</v>
      </c>
      <c r="E1" s="154"/>
      <c r="F1" s="154"/>
      <c r="G1" s="154"/>
      <c r="H1" s="154"/>
      <c r="I1" s="154"/>
    </row>
    <row r="2" spans="1:9" s="27" customFormat="1" ht="18.75" x14ac:dyDescent="0.3">
      <c r="A2" s="149"/>
      <c r="B2" s="151"/>
      <c r="C2" s="153"/>
      <c r="D2" s="24" t="s">
        <v>62</v>
      </c>
      <c r="E2" s="24" t="s">
        <v>63</v>
      </c>
      <c r="F2" s="24" t="s">
        <v>64</v>
      </c>
      <c r="G2" s="24" t="s">
        <v>65</v>
      </c>
      <c r="H2" s="25" t="s">
        <v>66</v>
      </c>
      <c r="I2" s="26" t="s">
        <v>67</v>
      </c>
    </row>
    <row r="3" spans="1:9" ht="21.75" customHeight="1" x14ac:dyDescent="0.25">
      <c r="A3" s="155">
        <v>1</v>
      </c>
      <c r="B3" s="158" t="s">
        <v>10</v>
      </c>
      <c r="C3" s="28" t="s">
        <v>68</v>
      </c>
      <c r="D3" s="29" t="s">
        <v>69</v>
      </c>
      <c r="E3" s="29" t="s">
        <v>70</v>
      </c>
      <c r="F3" s="29" t="s">
        <v>71</v>
      </c>
      <c r="G3" s="29" t="s">
        <v>72</v>
      </c>
      <c r="H3" s="30" t="s">
        <v>73</v>
      </c>
      <c r="I3" s="161">
        <v>5</v>
      </c>
    </row>
    <row r="4" spans="1:9" ht="36" customHeight="1" x14ac:dyDescent="0.25">
      <c r="A4" s="156"/>
      <c r="B4" s="159"/>
      <c r="C4" s="28" t="s">
        <v>74</v>
      </c>
      <c r="D4" s="31" t="s">
        <v>75</v>
      </c>
      <c r="E4" s="31" t="s">
        <v>76</v>
      </c>
      <c r="F4" s="31" t="s">
        <v>77</v>
      </c>
      <c r="G4" s="31" t="s">
        <v>78</v>
      </c>
      <c r="H4" s="32" t="s">
        <v>79</v>
      </c>
      <c r="I4" s="161"/>
    </row>
    <row r="5" spans="1:9" ht="71.25" customHeight="1" x14ac:dyDescent="0.25">
      <c r="A5" s="156"/>
      <c r="B5" s="159"/>
      <c r="C5" s="28" t="s">
        <v>80</v>
      </c>
      <c r="D5" s="31" t="s">
        <v>81</v>
      </c>
      <c r="E5" s="31" t="s">
        <v>226</v>
      </c>
      <c r="F5" s="31" t="s">
        <v>227</v>
      </c>
      <c r="G5" s="31" t="s">
        <v>82</v>
      </c>
      <c r="H5" s="32" t="s">
        <v>83</v>
      </c>
      <c r="I5" s="62">
        <v>5</v>
      </c>
    </row>
    <row r="6" spans="1:9" ht="71.25" customHeight="1" thickBot="1" x14ac:dyDescent="0.3">
      <c r="A6" s="157"/>
      <c r="B6" s="160"/>
      <c r="C6" s="28" t="s">
        <v>84</v>
      </c>
      <c r="D6" s="31" t="s">
        <v>81</v>
      </c>
      <c r="E6" s="31" t="s">
        <v>228</v>
      </c>
      <c r="F6" s="31" t="s">
        <v>229</v>
      </c>
      <c r="G6" s="31" t="s">
        <v>82</v>
      </c>
      <c r="H6" s="32" t="s">
        <v>83</v>
      </c>
      <c r="I6" s="63">
        <v>5</v>
      </c>
    </row>
    <row r="7" spans="1:9" ht="30" x14ac:dyDescent="0.25">
      <c r="A7" s="162">
        <v>2</v>
      </c>
      <c r="B7" s="165" t="s">
        <v>17</v>
      </c>
      <c r="C7" s="34" t="s">
        <v>85</v>
      </c>
      <c r="D7" s="35" t="s">
        <v>86</v>
      </c>
      <c r="E7" s="35" t="s">
        <v>87</v>
      </c>
      <c r="F7" s="35" t="s">
        <v>88</v>
      </c>
      <c r="G7" s="35" t="s">
        <v>89</v>
      </c>
      <c r="H7" s="36" t="s">
        <v>90</v>
      </c>
      <c r="I7" s="161">
        <v>5</v>
      </c>
    </row>
    <row r="8" spans="1:9" ht="60" x14ac:dyDescent="0.25">
      <c r="A8" s="163">
        <v>2</v>
      </c>
      <c r="B8" s="159"/>
      <c r="C8" s="37" t="s">
        <v>91</v>
      </c>
      <c r="D8" s="31" t="s">
        <v>92</v>
      </c>
      <c r="E8" s="31" t="s">
        <v>93</v>
      </c>
      <c r="F8" s="31" t="s">
        <v>94</v>
      </c>
      <c r="G8" s="31" t="s">
        <v>95</v>
      </c>
      <c r="H8" s="32" t="s">
        <v>96</v>
      </c>
      <c r="I8" s="161"/>
    </row>
    <row r="9" spans="1:9" ht="30" x14ac:dyDescent="0.25">
      <c r="A9" s="163"/>
      <c r="B9" s="159"/>
      <c r="C9" s="37" t="s">
        <v>97</v>
      </c>
      <c r="D9" s="29" t="s">
        <v>98</v>
      </c>
      <c r="E9" s="29" t="s">
        <v>99</v>
      </c>
      <c r="F9" s="29" t="s">
        <v>100</v>
      </c>
      <c r="G9" s="29" t="s">
        <v>101</v>
      </c>
      <c r="H9" s="30" t="s">
        <v>102</v>
      </c>
      <c r="I9" s="33">
        <v>5</v>
      </c>
    </row>
    <row r="10" spans="1:9" ht="60" x14ac:dyDescent="0.25">
      <c r="A10" s="163"/>
      <c r="B10" s="159"/>
      <c r="C10" s="67" t="s">
        <v>103</v>
      </c>
      <c r="D10" s="29" t="s">
        <v>104</v>
      </c>
      <c r="E10" s="31" t="s">
        <v>105</v>
      </c>
      <c r="F10" s="31" t="s">
        <v>106</v>
      </c>
      <c r="G10" s="31" t="s">
        <v>107</v>
      </c>
      <c r="H10" s="32" t="s">
        <v>108</v>
      </c>
      <c r="I10" s="33">
        <v>5</v>
      </c>
    </row>
    <row r="11" spans="1:9" ht="45.75" thickBot="1" x14ac:dyDescent="0.3">
      <c r="A11" s="164"/>
      <c r="B11" s="160"/>
      <c r="C11" s="38" t="s">
        <v>109</v>
      </c>
      <c r="D11" s="39" t="s">
        <v>110</v>
      </c>
      <c r="E11" s="39" t="s">
        <v>111</v>
      </c>
      <c r="F11" s="39" t="s">
        <v>112</v>
      </c>
      <c r="G11" s="39" t="s">
        <v>113</v>
      </c>
      <c r="H11" s="40" t="s">
        <v>114</v>
      </c>
      <c r="I11" s="33">
        <v>5</v>
      </c>
    </row>
    <row r="12" spans="1:9" ht="83.25" customHeight="1" x14ac:dyDescent="0.25">
      <c r="A12" s="166">
        <v>3</v>
      </c>
      <c r="B12" s="165" t="s">
        <v>24</v>
      </c>
      <c r="C12" s="41" t="s">
        <v>115</v>
      </c>
      <c r="D12" s="42" t="s">
        <v>116</v>
      </c>
      <c r="E12" s="42" t="s">
        <v>117</v>
      </c>
      <c r="F12" s="42" t="s">
        <v>118</v>
      </c>
      <c r="G12" s="42" t="s">
        <v>119</v>
      </c>
      <c r="H12" s="43" t="s">
        <v>120</v>
      </c>
      <c r="I12" s="170">
        <v>5</v>
      </c>
    </row>
    <row r="13" spans="1:9" ht="45" x14ac:dyDescent="0.25">
      <c r="A13" s="167"/>
      <c r="B13" s="159"/>
      <c r="C13" s="37" t="s">
        <v>121</v>
      </c>
      <c r="D13" s="29" t="s">
        <v>122</v>
      </c>
      <c r="E13" s="29" t="s">
        <v>123</v>
      </c>
      <c r="F13" s="29" t="s">
        <v>124</v>
      </c>
      <c r="G13" s="29" t="s">
        <v>125</v>
      </c>
      <c r="H13" s="30" t="s">
        <v>126</v>
      </c>
      <c r="I13" s="171"/>
    </row>
    <row r="14" spans="1:9" ht="63" customHeight="1" x14ac:dyDescent="0.25">
      <c r="A14" s="167"/>
      <c r="B14" s="159"/>
      <c r="C14" s="37" t="s">
        <v>127</v>
      </c>
      <c r="D14" s="29" t="s">
        <v>128</v>
      </c>
      <c r="E14" s="29" t="s">
        <v>129</v>
      </c>
      <c r="F14" s="29" t="s">
        <v>130</v>
      </c>
      <c r="G14" s="29" t="s">
        <v>131</v>
      </c>
      <c r="H14" s="30" t="s">
        <v>132</v>
      </c>
      <c r="I14" s="44">
        <v>5</v>
      </c>
    </row>
    <row r="15" spans="1:9" ht="90" x14ac:dyDescent="0.25">
      <c r="A15" s="167"/>
      <c r="B15" s="159"/>
      <c r="C15" s="37" t="s">
        <v>133</v>
      </c>
      <c r="D15" s="29" t="s">
        <v>134</v>
      </c>
      <c r="E15" s="29" t="s">
        <v>135</v>
      </c>
      <c r="F15" s="29" t="s">
        <v>136</v>
      </c>
      <c r="G15" s="29" t="s">
        <v>137</v>
      </c>
      <c r="H15" s="30" t="s">
        <v>138</v>
      </c>
      <c r="I15" s="45">
        <v>5</v>
      </c>
    </row>
    <row r="16" spans="1:9" ht="90" x14ac:dyDescent="0.25">
      <c r="A16" s="168"/>
      <c r="B16" s="169"/>
      <c r="C16" s="28" t="s">
        <v>139</v>
      </c>
      <c r="D16" s="29" t="s">
        <v>134</v>
      </c>
      <c r="E16" s="29" t="s">
        <v>135</v>
      </c>
      <c r="F16" s="29" t="s">
        <v>136</v>
      </c>
      <c r="G16" s="29" t="s">
        <v>137</v>
      </c>
      <c r="H16" s="30" t="s">
        <v>138</v>
      </c>
      <c r="I16" s="33">
        <v>5</v>
      </c>
    </row>
    <row r="17" spans="1:9" ht="72" customHeight="1" x14ac:dyDescent="0.25">
      <c r="A17" s="175">
        <v>4</v>
      </c>
      <c r="B17" s="177" t="s">
        <v>31</v>
      </c>
      <c r="C17" s="28" t="s">
        <v>140</v>
      </c>
      <c r="D17" s="28" t="s">
        <v>141</v>
      </c>
      <c r="E17" s="28" t="s">
        <v>142</v>
      </c>
      <c r="F17" s="28" t="s">
        <v>143</v>
      </c>
      <c r="G17" s="28" t="s">
        <v>144</v>
      </c>
      <c r="H17" s="46" t="s">
        <v>145</v>
      </c>
      <c r="I17" s="33">
        <v>5</v>
      </c>
    </row>
    <row r="18" spans="1:9" ht="45" x14ac:dyDescent="0.25">
      <c r="A18" s="175"/>
      <c r="B18" s="177"/>
      <c r="C18" s="28" t="s">
        <v>146</v>
      </c>
      <c r="D18" s="29" t="s">
        <v>147</v>
      </c>
      <c r="E18" s="29" t="s">
        <v>148</v>
      </c>
      <c r="F18" s="29" t="s">
        <v>149</v>
      </c>
      <c r="G18" s="29" t="s">
        <v>150</v>
      </c>
      <c r="H18" s="30" t="s">
        <v>151</v>
      </c>
      <c r="I18" s="33">
        <v>5</v>
      </c>
    </row>
    <row r="19" spans="1:9" ht="60" x14ac:dyDescent="0.25">
      <c r="A19" s="175"/>
      <c r="B19" s="177"/>
      <c r="C19" s="28" t="s">
        <v>152</v>
      </c>
      <c r="D19" s="29" t="s">
        <v>153</v>
      </c>
      <c r="E19" s="29" t="s">
        <v>154</v>
      </c>
      <c r="F19" s="29" t="s">
        <v>155</v>
      </c>
      <c r="G19" s="29" t="s">
        <v>156</v>
      </c>
      <c r="H19" s="30" t="s">
        <v>157</v>
      </c>
      <c r="I19" s="33">
        <v>5</v>
      </c>
    </row>
    <row r="20" spans="1:9" ht="76.5" x14ac:dyDescent="0.25">
      <c r="A20" s="175"/>
      <c r="B20" s="177"/>
      <c r="C20" s="28" t="s">
        <v>158</v>
      </c>
      <c r="D20" s="29" t="s">
        <v>159</v>
      </c>
      <c r="E20" s="29" t="s">
        <v>160</v>
      </c>
      <c r="F20" s="29" t="s">
        <v>161</v>
      </c>
      <c r="G20" s="29" t="s">
        <v>162</v>
      </c>
      <c r="H20" s="30" t="s">
        <v>163</v>
      </c>
      <c r="I20" s="33">
        <v>5</v>
      </c>
    </row>
    <row r="21" spans="1:9" ht="90" x14ac:dyDescent="0.25">
      <c r="A21" s="179">
        <v>5</v>
      </c>
      <c r="B21" s="180" t="s">
        <v>164</v>
      </c>
      <c r="C21" s="28" t="s">
        <v>165</v>
      </c>
      <c r="D21" s="31" t="s">
        <v>166</v>
      </c>
      <c r="E21" s="31" t="s">
        <v>167</v>
      </c>
      <c r="F21" s="31" t="s">
        <v>168</v>
      </c>
      <c r="G21" s="31" t="s">
        <v>169</v>
      </c>
      <c r="H21" s="32" t="s">
        <v>170</v>
      </c>
      <c r="I21" s="47">
        <v>5</v>
      </c>
    </row>
    <row r="22" spans="1:9" ht="90" x14ac:dyDescent="0.25">
      <c r="A22" s="179"/>
      <c r="B22" s="180"/>
      <c r="C22" s="28" t="s">
        <v>171</v>
      </c>
      <c r="D22" s="31" t="s">
        <v>172</v>
      </c>
      <c r="E22" s="31" t="s">
        <v>173</v>
      </c>
      <c r="F22" s="31" t="s">
        <v>174</v>
      </c>
      <c r="G22" s="31" t="s">
        <v>175</v>
      </c>
      <c r="H22" s="32" t="s">
        <v>176</v>
      </c>
      <c r="I22" s="47">
        <v>5</v>
      </c>
    </row>
    <row r="23" spans="1:9" ht="56.25" customHeight="1" x14ac:dyDescent="0.25">
      <c r="A23" s="179"/>
      <c r="B23" s="180"/>
      <c r="C23" s="28" t="s">
        <v>177</v>
      </c>
      <c r="D23" s="31" t="s">
        <v>178</v>
      </c>
      <c r="E23" s="31" t="s">
        <v>179</v>
      </c>
      <c r="F23" s="31" t="s">
        <v>180</v>
      </c>
      <c r="G23" s="31" t="s">
        <v>181</v>
      </c>
      <c r="H23" s="32" t="s">
        <v>182</v>
      </c>
      <c r="I23" s="47">
        <v>5</v>
      </c>
    </row>
    <row r="24" spans="1:9" ht="90" x14ac:dyDescent="0.25">
      <c r="A24" s="179"/>
      <c r="B24" s="180"/>
      <c r="C24" s="48" t="s">
        <v>183</v>
      </c>
      <c r="D24" s="49" t="s">
        <v>184</v>
      </c>
      <c r="E24" s="50" t="s">
        <v>185</v>
      </c>
      <c r="F24" s="50" t="s">
        <v>186</v>
      </c>
      <c r="G24" s="51" t="s">
        <v>187</v>
      </c>
      <c r="H24" s="52" t="s">
        <v>188</v>
      </c>
      <c r="I24" s="47">
        <v>5</v>
      </c>
    </row>
    <row r="25" spans="1:9" ht="90" x14ac:dyDescent="0.25">
      <c r="A25" s="179"/>
      <c r="B25" s="180"/>
      <c r="C25" s="53" t="s">
        <v>189</v>
      </c>
      <c r="D25" s="31" t="s">
        <v>184</v>
      </c>
      <c r="E25" s="31" t="s">
        <v>190</v>
      </c>
      <c r="F25" s="31" t="s">
        <v>191</v>
      </c>
      <c r="G25" s="31" t="s">
        <v>192</v>
      </c>
      <c r="H25" s="32" t="s">
        <v>188</v>
      </c>
      <c r="I25" s="47">
        <v>5</v>
      </c>
    </row>
    <row r="26" spans="1:9" ht="66.75" customHeight="1" x14ac:dyDescent="0.25">
      <c r="A26" s="181">
        <v>6</v>
      </c>
      <c r="B26" s="180" t="s">
        <v>246</v>
      </c>
      <c r="C26" s="54" t="s">
        <v>193</v>
      </c>
      <c r="D26" s="49" t="s">
        <v>194</v>
      </c>
      <c r="E26" s="55" t="s">
        <v>195</v>
      </c>
      <c r="F26" s="55" t="s">
        <v>196</v>
      </c>
      <c r="G26" s="55" t="s">
        <v>197</v>
      </c>
      <c r="H26" s="56" t="s">
        <v>198</v>
      </c>
      <c r="I26" s="172">
        <v>5</v>
      </c>
    </row>
    <row r="27" spans="1:9" ht="75" x14ac:dyDescent="0.25">
      <c r="A27" s="181"/>
      <c r="B27" s="180"/>
      <c r="C27" s="28" t="s">
        <v>199</v>
      </c>
      <c r="D27" s="31" t="s">
        <v>200</v>
      </c>
      <c r="E27" s="55" t="s">
        <v>201</v>
      </c>
      <c r="F27" s="55" t="s">
        <v>202</v>
      </c>
      <c r="G27" s="55" t="s">
        <v>203</v>
      </c>
      <c r="H27" s="56" t="s">
        <v>204</v>
      </c>
      <c r="I27" s="173"/>
    </row>
    <row r="28" spans="1:9" ht="60" x14ac:dyDescent="0.25">
      <c r="A28" s="181"/>
      <c r="B28" s="180"/>
      <c r="C28" s="28" t="s">
        <v>205</v>
      </c>
      <c r="D28" s="31" t="s">
        <v>206</v>
      </c>
      <c r="E28" s="31" t="s">
        <v>207</v>
      </c>
      <c r="F28" s="31" t="s">
        <v>208</v>
      </c>
      <c r="G28" s="31" t="s">
        <v>209</v>
      </c>
      <c r="H28" s="32" t="s">
        <v>210</v>
      </c>
      <c r="I28" s="173"/>
    </row>
    <row r="29" spans="1:9" ht="45" x14ac:dyDescent="0.25">
      <c r="A29" s="181"/>
      <c r="B29" s="180"/>
      <c r="C29" s="28" t="s">
        <v>211</v>
      </c>
      <c r="D29" s="31" t="s">
        <v>212</v>
      </c>
      <c r="E29" s="31" t="s">
        <v>213</v>
      </c>
      <c r="F29" s="31" t="s">
        <v>214</v>
      </c>
      <c r="G29" s="31" t="s">
        <v>215</v>
      </c>
      <c r="H29" s="32" t="s">
        <v>216</v>
      </c>
      <c r="I29" s="174"/>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75">
        <v>7</v>
      </c>
      <c r="B31" s="177" t="s">
        <v>52</v>
      </c>
      <c r="C31" s="28" t="s">
        <v>217</v>
      </c>
      <c r="D31" s="29" t="s">
        <v>230</v>
      </c>
      <c r="E31" s="29" t="s">
        <v>231</v>
      </c>
      <c r="F31" s="29" t="s">
        <v>232</v>
      </c>
      <c r="G31" s="29" t="s">
        <v>233</v>
      </c>
      <c r="H31" s="30" t="s">
        <v>234</v>
      </c>
      <c r="I31" s="33">
        <v>5</v>
      </c>
    </row>
    <row r="32" spans="1:9" ht="104.25" customHeight="1" x14ac:dyDescent="0.25">
      <c r="A32" s="175"/>
      <c r="B32" s="177"/>
      <c r="C32" s="28" t="s">
        <v>218</v>
      </c>
      <c r="D32" s="29" t="s">
        <v>235</v>
      </c>
      <c r="E32" s="29" t="s">
        <v>236</v>
      </c>
      <c r="F32" s="29" t="s">
        <v>237</v>
      </c>
      <c r="G32" s="29" t="s">
        <v>238</v>
      </c>
      <c r="H32" s="30" t="s">
        <v>239</v>
      </c>
      <c r="I32" s="33">
        <v>5</v>
      </c>
    </row>
    <row r="33" spans="1:9" ht="75" x14ac:dyDescent="0.25">
      <c r="A33" s="175"/>
      <c r="B33" s="177"/>
      <c r="C33" s="28" t="s">
        <v>219</v>
      </c>
      <c r="D33" s="29" t="s">
        <v>240</v>
      </c>
      <c r="E33" s="29" t="s">
        <v>241</v>
      </c>
      <c r="F33" s="29" t="s">
        <v>242</v>
      </c>
      <c r="G33" s="29" t="s">
        <v>243</v>
      </c>
      <c r="H33" s="30" t="s">
        <v>244</v>
      </c>
      <c r="I33" s="33">
        <v>5</v>
      </c>
    </row>
    <row r="34" spans="1:9" ht="96.75" customHeight="1" thickBot="1" x14ac:dyDescent="0.3">
      <c r="A34" s="176"/>
      <c r="B34" s="178"/>
      <c r="C34" s="57" t="s">
        <v>220</v>
      </c>
      <c r="D34" s="39" t="s">
        <v>221</v>
      </c>
      <c r="E34" s="39" t="s">
        <v>222</v>
      </c>
      <c r="F34" s="39" t="s">
        <v>223</v>
      </c>
      <c r="G34" s="39" t="s">
        <v>224</v>
      </c>
      <c r="H34" s="40" t="s">
        <v>225</v>
      </c>
      <c r="I34" s="33">
        <v>5</v>
      </c>
    </row>
    <row r="35" spans="1:9" x14ac:dyDescent="0.25">
      <c r="I35" s="33">
        <f>SUM(I31:I34)</f>
        <v>20</v>
      </c>
    </row>
  </sheetData>
  <mergeCells count="22">
    <mergeCell ref="I26:I29"/>
    <mergeCell ref="A31:A34"/>
    <mergeCell ref="B31:B34"/>
    <mergeCell ref="A17:A20"/>
    <mergeCell ref="B17:B20"/>
    <mergeCell ref="A21:A25"/>
    <mergeCell ref="B21:B25"/>
    <mergeCell ref="A26:A29"/>
    <mergeCell ref="B26:B29"/>
    <mergeCell ref="A7:A11"/>
    <mergeCell ref="B7:B11"/>
    <mergeCell ref="I7:I8"/>
    <mergeCell ref="A12:A16"/>
    <mergeCell ref="B12:B16"/>
    <mergeCell ref="I12:I13"/>
    <mergeCell ref="A1:A2"/>
    <mergeCell ref="B1:B2"/>
    <mergeCell ref="C1:C2"/>
    <mergeCell ref="D1:I1"/>
    <mergeCell ref="A3:A6"/>
    <mergeCell ref="B3:B6"/>
    <mergeCell ref="I3:I4"/>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zoomScale="80" zoomScaleNormal="80" zoomScaleSheetLayoutView="80" workbookViewId="0">
      <pane xSplit="2" ySplit="5" topLeftCell="E31" activePane="bottomRight" state="frozen"/>
      <selection pane="topRight" activeCell="C1" sqref="C1"/>
      <selection pane="bottomLeft" activeCell="A4" sqref="A4"/>
      <selection pane="bottomRight" activeCell="L30" sqref="L30"/>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 min="10" max="10" width="9.140625" style="61"/>
    <col min="13" max="13" width="15.28515625" customWidth="1"/>
    <col min="14" max="14" width="13.85546875" customWidth="1"/>
  </cols>
  <sheetData>
    <row r="1" spans="1:11" ht="31.5" customHeight="1" thickBot="1" x14ac:dyDescent="0.3">
      <c r="A1" s="194"/>
      <c r="B1" s="194"/>
      <c r="C1" s="186" t="s">
        <v>299</v>
      </c>
      <c r="D1" s="187"/>
      <c r="E1" s="187"/>
      <c r="F1" s="187"/>
      <c r="G1" s="187"/>
      <c r="H1" s="187"/>
      <c r="I1" s="187"/>
      <c r="J1" s="188"/>
    </row>
    <row r="2" spans="1:11" ht="15.75" thickBot="1" x14ac:dyDescent="0.3">
      <c r="A2" s="194"/>
      <c r="B2" s="194"/>
      <c r="C2" s="183" t="s">
        <v>360</v>
      </c>
      <c r="D2" s="184"/>
      <c r="E2" s="183" t="s">
        <v>300</v>
      </c>
      <c r="F2" s="184"/>
      <c r="G2" s="192" t="s">
        <v>301</v>
      </c>
      <c r="H2" s="183" t="s">
        <v>302</v>
      </c>
      <c r="I2" s="185"/>
      <c r="J2" s="184"/>
    </row>
    <row r="3" spans="1:11" ht="15.75" customHeight="1" thickBot="1" x14ac:dyDescent="0.3">
      <c r="A3" s="124"/>
      <c r="B3" s="124"/>
      <c r="C3" s="185" t="s">
        <v>303</v>
      </c>
      <c r="D3" s="185"/>
      <c r="E3" s="183" t="s">
        <v>304</v>
      </c>
      <c r="F3" s="184"/>
      <c r="G3" s="193"/>
      <c r="H3" s="189" t="s">
        <v>305</v>
      </c>
      <c r="I3" s="190"/>
      <c r="J3" s="191"/>
    </row>
    <row r="4" spans="1:11" ht="18.75" x14ac:dyDescent="0.25">
      <c r="A4" s="148" t="s">
        <v>59</v>
      </c>
      <c r="B4" s="150" t="s">
        <v>60</v>
      </c>
      <c r="C4" s="152" t="s">
        <v>2</v>
      </c>
      <c r="D4" s="212" t="s">
        <v>61</v>
      </c>
      <c r="E4" s="212"/>
      <c r="F4" s="212"/>
      <c r="G4" s="212"/>
      <c r="H4" s="212"/>
      <c r="I4" s="212"/>
      <c r="J4" s="213"/>
    </row>
    <row r="5" spans="1:11" s="27" customFormat="1" ht="18.75" x14ac:dyDescent="0.3">
      <c r="A5" s="149"/>
      <c r="B5" s="151"/>
      <c r="C5" s="153"/>
      <c r="D5" s="69" t="s">
        <v>62</v>
      </c>
      <c r="E5" s="69" t="s">
        <v>63</v>
      </c>
      <c r="F5" s="69" t="s">
        <v>64</v>
      </c>
      <c r="G5" s="69" t="s">
        <v>65</v>
      </c>
      <c r="H5" s="69" t="s">
        <v>66</v>
      </c>
      <c r="I5" s="74" t="s">
        <v>67</v>
      </c>
      <c r="J5" s="78" t="s">
        <v>67</v>
      </c>
    </row>
    <row r="6" spans="1:11" ht="96.75" customHeight="1" x14ac:dyDescent="0.25">
      <c r="A6" s="210">
        <v>1</v>
      </c>
      <c r="B6" s="214" t="s">
        <v>10</v>
      </c>
      <c r="C6" s="28" t="s">
        <v>68</v>
      </c>
      <c r="D6" s="29" t="s">
        <v>285</v>
      </c>
      <c r="E6" s="29" t="s">
        <v>286</v>
      </c>
      <c r="F6" s="29" t="s">
        <v>320</v>
      </c>
      <c r="G6" s="29" t="s">
        <v>321</v>
      </c>
      <c r="H6" s="29" t="s">
        <v>319</v>
      </c>
      <c r="I6" s="161">
        <v>10</v>
      </c>
      <c r="J6" s="215">
        <v>15</v>
      </c>
      <c r="K6" s="61">
        <v>8</v>
      </c>
    </row>
    <row r="7" spans="1:11" ht="94.5" customHeight="1" x14ac:dyDescent="0.25">
      <c r="A7" s="210"/>
      <c r="B7" s="214"/>
      <c r="C7" s="28" t="s">
        <v>74</v>
      </c>
      <c r="D7" s="31" t="s">
        <v>287</v>
      </c>
      <c r="E7" s="31" t="s">
        <v>271</v>
      </c>
      <c r="F7" s="31" t="s">
        <v>272</v>
      </c>
      <c r="G7" s="31" t="s">
        <v>273</v>
      </c>
      <c r="H7" s="31" t="s">
        <v>79</v>
      </c>
      <c r="I7" s="161"/>
      <c r="J7" s="215"/>
      <c r="K7" s="61">
        <v>0</v>
      </c>
    </row>
    <row r="8" spans="1:11" ht="94.5" customHeight="1" x14ac:dyDescent="0.25">
      <c r="A8" s="210"/>
      <c r="B8" s="214"/>
      <c r="C8" s="28" t="s">
        <v>277</v>
      </c>
      <c r="D8" s="31" t="s">
        <v>247</v>
      </c>
      <c r="E8" s="31" t="s">
        <v>248</v>
      </c>
      <c r="F8" s="31" t="s">
        <v>249</v>
      </c>
      <c r="G8" s="31" t="s">
        <v>250</v>
      </c>
      <c r="H8" s="31" t="s">
        <v>251</v>
      </c>
      <c r="I8" s="47">
        <v>5</v>
      </c>
      <c r="J8" s="215"/>
      <c r="K8" s="61">
        <v>3</v>
      </c>
    </row>
    <row r="9" spans="1:11" ht="60" customHeight="1" x14ac:dyDescent="0.25">
      <c r="A9" s="210">
        <v>2</v>
      </c>
      <c r="B9" s="177" t="s">
        <v>17</v>
      </c>
      <c r="C9" s="28" t="s">
        <v>322</v>
      </c>
      <c r="D9" s="31" t="s">
        <v>323</v>
      </c>
      <c r="E9" s="31" t="s">
        <v>324</v>
      </c>
      <c r="F9" s="31" t="s">
        <v>325</v>
      </c>
      <c r="G9" s="31" t="s">
        <v>326</v>
      </c>
      <c r="H9" s="31" t="s">
        <v>327</v>
      </c>
      <c r="I9" s="161">
        <v>5</v>
      </c>
      <c r="J9" s="215">
        <v>20</v>
      </c>
      <c r="K9" s="182">
        <v>3.5</v>
      </c>
    </row>
    <row r="10" spans="1:11" ht="45" x14ac:dyDescent="0.25">
      <c r="A10" s="210">
        <v>2</v>
      </c>
      <c r="B10" s="177"/>
      <c r="C10" s="29" t="s">
        <v>288</v>
      </c>
      <c r="D10" s="31" t="s">
        <v>328</v>
      </c>
      <c r="E10" s="31" t="s">
        <v>329</v>
      </c>
      <c r="F10" s="31" t="s">
        <v>330</v>
      </c>
      <c r="G10" s="31" t="s">
        <v>331</v>
      </c>
      <c r="H10" s="31" t="s">
        <v>331</v>
      </c>
      <c r="I10" s="161"/>
      <c r="J10" s="215"/>
      <c r="K10" s="182"/>
    </row>
    <row r="11" spans="1:11" ht="48" customHeight="1" x14ac:dyDescent="0.25">
      <c r="A11" s="210"/>
      <c r="B11" s="177"/>
      <c r="C11" s="68" t="s">
        <v>332</v>
      </c>
      <c r="D11" s="29" t="s">
        <v>98</v>
      </c>
      <c r="E11" s="29" t="s">
        <v>99</v>
      </c>
      <c r="F11" s="29" t="s">
        <v>100</v>
      </c>
      <c r="G11" s="29" t="s">
        <v>101</v>
      </c>
      <c r="H11" s="29" t="s">
        <v>289</v>
      </c>
      <c r="I11" s="75">
        <v>5</v>
      </c>
      <c r="J11" s="215"/>
      <c r="K11" s="61">
        <v>3.5</v>
      </c>
    </row>
    <row r="12" spans="1:11" ht="83.25" customHeight="1" x14ac:dyDescent="0.25">
      <c r="A12" s="210"/>
      <c r="B12" s="177"/>
      <c r="C12" s="29" t="s">
        <v>260</v>
      </c>
      <c r="D12" s="29" t="s">
        <v>290</v>
      </c>
      <c r="E12" s="31" t="s">
        <v>105</v>
      </c>
      <c r="F12" s="31" t="s">
        <v>106</v>
      </c>
      <c r="G12" s="31" t="s">
        <v>107</v>
      </c>
      <c r="H12" s="31" t="s">
        <v>291</v>
      </c>
      <c r="I12" s="75">
        <v>5</v>
      </c>
      <c r="J12" s="215"/>
      <c r="K12" s="61">
        <v>3</v>
      </c>
    </row>
    <row r="13" spans="1:11" ht="45" x14ac:dyDescent="0.25">
      <c r="A13" s="210"/>
      <c r="B13" s="177"/>
      <c r="C13" s="68" t="s">
        <v>261</v>
      </c>
      <c r="D13" s="29" t="s">
        <v>110</v>
      </c>
      <c r="E13" s="29" t="s">
        <v>111</v>
      </c>
      <c r="F13" s="29" t="s">
        <v>112</v>
      </c>
      <c r="G13" s="29" t="s">
        <v>113</v>
      </c>
      <c r="H13" s="29" t="s">
        <v>114</v>
      </c>
      <c r="I13" s="75">
        <v>5</v>
      </c>
      <c r="J13" s="215"/>
      <c r="K13" s="61">
        <v>2</v>
      </c>
    </row>
    <row r="14" spans="1:11" ht="83.25" customHeight="1" x14ac:dyDescent="0.25">
      <c r="A14" s="175">
        <v>3</v>
      </c>
      <c r="B14" s="177" t="s">
        <v>24</v>
      </c>
      <c r="C14" s="68" t="s">
        <v>115</v>
      </c>
      <c r="D14" s="29" t="s">
        <v>116</v>
      </c>
      <c r="E14" s="29" t="s">
        <v>292</v>
      </c>
      <c r="F14" s="29" t="s">
        <v>118</v>
      </c>
      <c r="G14" s="29" t="s">
        <v>119</v>
      </c>
      <c r="H14" s="29" t="s">
        <v>120</v>
      </c>
      <c r="I14" s="75">
        <v>5</v>
      </c>
      <c r="J14" s="215">
        <v>20</v>
      </c>
      <c r="K14" s="61">
        <v>4</v>
      </c>
    </row>
    <row r="15" spans="1:11" ht="62.25" customHeight="1" x14ac:dyDescent="0.25">
      <c r="A15" s="175"/>
      <c r="B15" s="177"/>
      <c r="C15" s="29" t="s">
        <v>334</v>
      </c>
      <c r="D15" s="29" t="s">
        <v>335</v>
      </c>
      <c r="E15" s="29" t="s">
        <v>336</v>
      </c>
      <c r="F15" s="29" t="s">
        <v>337</v>
      </c>
      <c r="G15" s="29" t="s">
        <v>333</v>
      </c>
      <c r="H15" s="29" t="s">
        <v>338</v>
      </c>
      <c r="I15" s="75">
        <v>5</v>
      </c>
      <c r="J15" s="215"/>
      <c r="K15" s="61">
        <v>3</v>
      </c>
    </row>
    <row r="16" spans="1:11" ht="75" x14ac:dyDescent="0.25">
      <c r="A16" s="175"/>
      <c r="B16" s="177"/>
      <c r="C16" s="68" t="s">
        <v>133</v>
      </c>
      <c r="D16" s="29" t="s">
        <v>134</v>
      </c>
      <c r="E16" s="29" t="s">
        <v>253</v>
      </c>
      <c r="F16" s="29" t="s">
        <v>254</v>
      </c>
      <c r="G16" s="29" t="s">
        <v>255</v>
      </c>
      <c r="H16" s="29" t="s">
        <v>256</v>
      </c>
      <c r="I16" s="75">
        <v>5</v>
      </c>
      <c r="J16" s="215"/>
      <c r="K16" s="61">
        <v>2</v>
      </c>
    </row>
    <row r="17" spans="1:11" ht="90" x14ac:dyDescent="0.25">
      <c r="A17" s="175"/>
      <c r="B17" s="177"/>
      <c r="C17" s="28" t="s">
        <v>293</v>
      </c>
      <c r="D17" s="29" t="s">
        <v>134</v>
      </c>
      <c r="E17" s="29" t="s">
        <v>135</v>
      </c>
      <c r="F17" s="29" t="s">
        <v>136</v>
      </c>
      <c r="G17" s="29" t="s">
        <v>137</v>
      </c>
      <c r="H17" s="29" t="s">
        <v>138</v>
      </c>
      <c r="I17" s="75">
        <v>5</v>
      </c>
      <c r="J17" s="215"/>
      <c r="K17" s="61">
        <v>3</v>
      </c>
    </row>
    <row r="18" spans="1:11" ht="105" customHeight="1" x14ac:dyDescent="0.25">
      <c r="A18" s="175">
        <v>4</v>
      </c>
      <c r="B18" s="177" t="s">
        <v>31</v>
      </c>
      <c r="C18" s="28" t="s">
        <v>140</v>
      </c>
      <c r="D18" s="29" t="s">
        <v>141</v>
      </c>
      <c r="E18" s="29" t="s">
        <v>294</v>
      </c>
      <c r="F18" s="29" t="s">
        <v>339</v>
      </c>
      <c r="G18" s="29" t="s">
        <v>340</v>
      </c>
      <c r="H18" s="29" t="s">
        <v>341</v>
      </c>
      <c r="I18" s="75">
        <v>5</v>
      </c>
      <c r="J18" s="215">
        <v>20</v>
      </c>
      <c r="K18" s="61">
        <v>3.5</v>
      </c>
    </row>
    <row r="19" spans="1:11" ht="91.5" customHeight="1" x14ac:dyDescent="0.25">
      <c r="A19" s="175"/>
      <c r="B19" s="177"/>
      <c r="C19" s="28" t="s">
        <v>146</v>
      </c>
      <c r="D19" s="29" t="s">
        <v>147</v>
      </c>
      <c r="E19" s="29" t="s">
        <v>148</v>
      </c>
      <c r="F19" s="29" t="s">
        <v>306</v>
      </c>
      <c r="G19" s="29" t="s">
        <v>307</v>
      </c>
      <c r="H19" s="29" t="s">
        <v>308</v>
      </c>
      <c r="I19" s="75">
        <v>5</v>
      </c>
      <c r="J19" s="215"/>
      <c r="K19" s="61">
        <v>4</v>
      </c>
    </row>
    <row r="20" spans="1:11" ht="88.5" customHeight="1" x14ac:dyDescent="0.25">
      <c r="A20" s="175"/>
      <c r="B20" s="177"/>
      <c r="C20" s="28" t="s">
        <v>152</v>
      </c>
      <c r="D20" s="29" t="s">
        <v>153</v>
      </c>
      <c r="E20" s="29" t="s">
        <v>154</v>
      </c>
      <c r="F20" s="29" t="s">
        <v>155</v>
      </c>
      <c r="G20" s="29" t="s">
        <v>156</v>
      </c>
      <c r="H20" s="29" t="s">
        <v>157</v>
      </c>
      <c r="I20" s="75">
        <v>5</v>
      </c>
      <c r="J20" s="215"/>
      <c r="K20" s="61">
        <v>3</v>
      </c>
    </row>
    <row r="21" spans="1:11" ht="90" x14ac:dyDescent="0.25">
      <c r="A21" s="175"/>
      <c r="B21" s="177"/>
      <c r="C21" s="28" t="s">
        <v>265</v>
      </c>
      <c r="D21" s="29" t="s">
        <v>159</v>
      </c>
      <c r="E21" s="29" t="s">
        <v>266</v>
      </c>
      <c r="F21" s="29" t="s">
        <v>267</v>
      </c>
      <c r="G21" s="29" t="s">
        <v>269</v>
      </c>
      <c r="H21" s="29" t="s">
        <v>270</v>
      </c>
      <c r="I21" s="75">
        <v>5</v>
      </c>
      <c r="J21" s="215"/>
      <c r="K21" s="61">
        <v>3</v>
      </c>
    </row>
    <row r="22" spans="1:11" ht="90" x14ac:dyDescent="0.25">
      <c r="A22" s="179">
        <v>5</v>
      </c>
      <c r="B22" s="180" t="s">
        <v>164</v>
      </c>
      <c r="C22" s="28" t="s">
        <v>165</v>
      </c>
      <c r="D22" s="31" t="s">
        <v>166</v>
      </c>
      <c r="E22" s="31" t="s">
        <v>167</v>
      </c>
      <c r="F22" s="31" t="s">
        <v>168</v>
      </c>
      <c r="G22" s="31" t="s">
        <v>268</v>
      </c>
      <c r="H22" s="31" t="s">
        <v>170</v>
      </c>
      <c r="I22" s="47">
        <v>5</v>
      </c>
      <c r="J22" s="215">
        <v>25</v>
      </c>
      <c r="K22" s="61">
        <v>3</v>
      </c>
    </row>
    <row r="23" spans="1:11" ht="117" customHeight="1" x14ac:dyDescent="0.25">
      <c r="A23" s="179"/>
      <c r="B23" s="180"/>
      <c r="C23" s="28" t="s">
        <v>171</v>
      </c>
      <c r="D23" s="31" t="s">
        <v>263</v>
      </c>
      <c r="E23" s="31" t="s">
        <v>264</v>
      </c>
      <c r="F23" s="31" t="s">
        <v>342</v>
      </c>
      <c r="G23" s="31" t="s">
        <v>343</v>
      </c>
      <c r="H23" s="31" t="s">
        <v>344</v>
      </c>
      <c r="I23" s="47">
        <v>5</v>
      </c>
      <c r="J23" s="215"/>
      <c r="K23" s="61">
        <v>3</v>
      </c>
    </row>
    <row r="24" spans="1:11" ht="120" customHeight="1" x14ac:dyDescent="0.25">
      <c r="A24" s="179"/>
      <c r="B24" s="180"/>
      <c r="C24" s="28" t="s">
        <v>177</v>
      </c>
      <c r="D24" s="31" t="s">
        <v>345</v>
      </c>
      <c r="E24" s="31" t="s">
        <v>346</v>
      </c>
      <c r="F24" s="31" t="s">
        <v>347</v>
      </c>
      <c r="G24" s="31" t="s">
        <v>348</v>
      </c>
      <c r="H24" s="31" t="s">
        <v>349</v>
      </c>
      <c r="I24" s="47">
        <v>5</v>
      </c>
      <c r="J24" s="215"/>
      <c r="K24" s="61">
        <v>1</v>
      </c>
    </row>
    <row r="25" spans="1:11" ht="90" x14ac:dyDescent="0.25">
      <c r="A25" s="179"/>
      <c r="B25" s="180"/>
      <c r="C25" s="70" t="s">
        <v>183</v>
      </c>
      <c r="D25" s="31" t="s">
        <v>184</v>
      </c>
      <c r="E25" s="31" t="s">
        <v>185</v>
      </c>
      <c r="F25" s="31" t="s">
        <v>186</v>
      </c>
      <c r="G25" s="31" t="s">
        <v>258</v>
      </c>
      <c r="H25" s="31" t="s">
        <v>259</v>
      </c>
      <c r="I25" s="47">
        <v>5</v>
      </c>
      <c r="J25" s="215"/>
      <c r="K25" s="61">
        <v>3.5</v>
      </c>
    </row>
    <row r="26" spans="1:11" ht="75" x14ac:dyDescent="0.25">
      <c r="A26" s="179"/>
      <c r="B26" s="180"/>
      <c r="C26" s="70" t="s">
        <v>262</v>
      </c>
      <c r="D26" s="31" t="s">
        <v>184</v>
      </c>
      <c r="E26" s="31" t="s">
        <v>190</v>
      </c>
      <c r="F26" s="31" t="s">
        <v>191</v>
      </c>
      <c r="G26" s="31" t="s">
        <v>192</v>
      </c>
      <c r="H26" s="31" t="s">
        <v>257</v>
      </c>
      <c r="I26" s="47">
        <v>5</v>
      </c>
      <c r="J26" s="215"/>
      <c r="K26" s="61">
        <v>3</v>
      </c>
    </row>
    <row r="27" spans="1:11" ht="105" x14ac:dyDescent="0.25">
      <c r="A27" s="77">
        <v>6</v>
      </c>
      <c r="B27" s="76" t="s">
        <v>246</v>
      </c>
      <c r="C27" s="28" t="s">
        <v>276</v>
      </c>
      <c r="D27" s="31" t="s">
        <v>275</v>
      </c>
      <c r="E27" s="31" t="s">
        <v>252</v>
      </c>
      <c r="F27" s="86" t="s">
        <v>351</v>
      </c>
      <c r="G27" s="87" t="s">
        <v>350</v>
      </c>
      <c r="H27" s="31" t="s">
        <v>274</v>
      </c>
      <c r="I27" s="47">
        <v>5</v>
      </c>
      <c r="J27" s="79">
        <v>5</v>
      </c>
      <c r="K27" s="61">
        <v>3.5</v>
      </c>
    </row>
    <row r="28" spans="1:11" ht="90.75" customHeight="1" x14ac:dyDescent="0.25">
      <c r="A28" s="175">
        <v>7</v>
      </c>
      <c r="B28" s="177" t="s">
        <v>52</v>
      </c>
      <c r="C28" s="28" t="s">
        <v>295</v>
      </c>
      <c r="D28" s="29" t="s">
        <v>318</v>
      </c>
      <c r="E28" s="29" t="s">
        <v>317</v>
      </c>
      <c r="F28" s="29" t="s">
        <v>316</v>
      </c>
      <c r="G28" s="29" t="s">
        <v>315</v>
      </c>
      <c r="H28" s="29" t="s">
        <v>314</v>
      </c>
      <c r="I28" s="75">
        <v>5</v>
      </c>
      <c r="J28" s="211">
        <v>20</v>
      </c>
      <c r="K28" s="61">
        <v>3.5</v>
      </c>
    </row>
    <row r="29" spans="1:11" ht="104.25" customHeight="1" x14ac:dyDescent="0.25">
      <c r="A29" s="175"/>
      <c r="B29" s="177"/>
      <c r="C29" s="28" t="s">
        <v>296</v>
      </c>
      <c r="D29" s="29" t="s">
        <v>313</v>
      </c>
      <c r="E29" s="29" t="s">
        <v>312</v>
      </c>
      <c r="F29" s="29" t="s">
        <v>311</v>
      </c>
      <c r="G29" s="29" t="s">
        <v>310</v>
      </c>
      <c r="H29" s="29" t="s">
        <v>309</v>
      </c>
      <c r="I29" s="75">
        <v>5</v>
      </c>
      <c r="J29" s="211"/>
      <c r="K29" s="61">
        <v>2.5</v>
      </c>
    </row>
    <row r="30" spans="1:11" ht="78" customHeight="1" x14ac:dyDescent="0.25">
      <c r="A30" s="175"/>
      <c r="B30" s="177"/>
      <c r="C30" s="28" t="s">
        <v>297</v>
      </c>
      <c r="D30" s="29" t="s">
        <v>354</v>
      </c>
      <c r="E30" s="29" t="s">
        <v>353</v>
      </c>
      <c r="F30" s="29" t="s">
        <v>352</v>
      </c>
      <c r="G30" s="29" t="s">
        <v>355</v>
      </c>
      <c r="H30" s="29" t="s">
        <v>356</v>
      </c>
      <c r="I30" s="75">
        <v>5</v>
      </c>
      <c r="J30" s="211"/>
      <c r="K30" s="61">
        <v>3</v>
      </c>
    </row>
    <row r="31" spans="1:11" ht="96.75" customHeight="1" x14ac:dyDescent="0.25">
      <c r="A31" s="175"/>
      <c r="B31" s="177"/>
      <c r="C31" s="28" t="s">
        <v>298</v>
      </c>
      <c r="D31" s="29" t="s">
        <v>221</v>
      </c>
      <c r="E31" s="29" t="s">
        <v>222</v>
      </c>
      <c r="F31" s="29" t="s">
        <v>223</v>
      </c>
      <c r="G31" s="29" t="s">
        <v>357</v>
      </c>
      <c r="H31" s="29" t="s">
        <v>358</v>
      </c>
      <c r="I31" s="75">
        <v>5</v>
      </c>
      <c r="J31" s="211"/>
      <c r="K31" s="61">
        <v>2</v>
      </c>
    </row>
    <row r="32" spans="1:11" ht="15.75" thickBot="1" x14ac:dyDescent="0.3">
      <c r="A32" s="80"/>
      <c r="B32" s="81"/>
      <c r="C32" s="82"/>
      <c r="D32" s="83"/>
      <c r="E32" s="83"/>
      <c r="F32" s="83"/>
      <c r="G32" s="83"/>
      <c r="H32" s="83"/>
      <c r="I32" s="84">
        <f>SUM(I6:I31)</f>
        <v>125</v>
      </c>
      <c r="J32" s="85">
        <f>SUM(J6:J31)</f>
        <v>125</v>
      </c>
      <c r="K32" s="88">
        <f>SUM(K6:K31)</f>
        <v>76.5</v>
      </c>
    </row>
    <row r="33" spans="1:14" ht="15.75" thickBot="1" x14ac:dyDescent="0.3">
      <c r="A33" s="195" t="s">
        <v>278</v>
      </c>
      <c r="B33" s="196"/>
      <c r="C33" s="196"/>
      <c r="D33" s="196"/>
      <c r="E33" s="196"/>
      <c r="F33" s="196"/>
      <c r="G33" s="196"/>
      <c r="H33" s="196"/>
      <c r="I33" s="196"/>
      <c r="J33" s="197"/>
      <c r="K33" s="89">
        <f>5*K32/J32</f>
        <v>3.06</v>
      </c>
    </row>
    <row r="34" spans="1:14" ht="34.5" thickBot="1" x14ac:dyDescent="0.55000000000000004">
      <c r="A34" s="71" t="s">
        <v>279</v>
      </c>
      <c r="B34" s="73" t="s">
        <v>280</v>
      </c>
      <c r="C34" s="141" t="s">
        <v>281</v>
      </c>
      <c r="D34" s="142"/>
      <c r="E34" s="142"/>
      <c r="F34" s="142"/>
      <c r="G34" s="143"/>
      <c r="H34" s="198" t="s">
        <v>284</v>
      </c>
      <c r="I34" s="199"/>
      <c r="J34" s="200"/>
      <c r="M34" s="91" t="s">
        <v>363</v>
      </c>
      <c r="N34" s="90">
        <f>AVERAGE(K6:K31)</f>
        <v>3.06</v>
      </c>
    </row>
    <row r="35" spans="1:14" ht="64.5" customHeight="1" x14ac:dyDescent="0.25">
      <c r="A35" s="71">
        <v>1</v>
      </c>
      <c r="B35" s="72" t="s">
        <v>359</v>
      </c>
      <c r="C35" s="201" t="s">
        <v>362</v>
      </c>
      <c r="D35" s="202"/>
      <c r="E35" s="202"/>
      <c r="F35" s="202"/>
      <c r="G35" s="203"/>
      <c r="H35" s="201" t="s">
        <v>361</v>
      </c>
      <c r="I35" s="202"/>
      <c r="J35" s="203"/>
    </row>
    <row r="36" spans="1:14" ht="84" customHeight="1" x14ac:dyDescent="0.25">
      <c r="A36" s="71">
        <v>2</v>
      </c>
      <c r="B36" s="72" t="s">
        <v>282</v>
      </c>
      <c r="C36" s="204"/>
      <c r="D36" s="205"/>
      <c r="E36" s="205"/>
      <c r="F36" s="205"/>
      <c r="G36" s="206"/>
      <c r="H36" s="204"/>
      <c r="I36" s="205"/>
      <c r="J36" s="206"/>
    </row>
    <row r="37" spans="1:14" ht="66" customHeight="1" x14ac:dyDescent="0.25">
      <c r="A37" s="71">
        <v>3</v>
      </c>
      <c r="B37" s="72" t="s">
        <v>283</v>
      </c>
      <c r="C37" s="207"/>
      <c r="D37" s="208"/>
      <c r="E37" s="208"/>
      <c r="F37" s="208"/>
      <c r="G37" s="209"/>
      <c r="H37" s="207"/>
      <c r="I37" s="208"/>
      <c r="J37" s="209"/>
    </row>
    <row r="38" spans="1:14" ht="53.25" customHeight="1" x14ac:dyDescent="0.25"/>
  </sheetData>
  <mergeCells count="39">
    <mergeCell ref="J28:J31"/>
    <mergeCell ref="D4:J4"/>
    <mergeCell ref="B6:B8"/>
    <mergeCell ref="J6:J8"/>
    <mergeCell ref="J9:J13"/>
    <mergeCell ref="J14:J17"/>
    <mergeCell ref="J18:J21"/>
    <mergeCell ref="J22:J26"/>
    <mergeCell ref="B14:B17"/>
    <mergeCell ref="A4:A5"/>
    <mergeCell ref="B4:B5"/>
    <mergeCell ref="C4:C5"/>
    <mergeCell ref="I6:I7"/>
    <mergeCell ref="A6:A8"/>
    <mergeCell ref="A1:B3"/>
    <mergeCell ref="A33:J33"/>
    <mergeCell ref="C34:G34"/>
    <mergeCell ref="H34:J34"/>
    <mergeCell ref="C35:G37"/>
    <mergeCell ref="H35:J37"/>
    <mergeCell ref="A28:A31"/>
    <mergeCell ref="B28:B31"/>
    <mergeCell ref="A18:A21"/>
    <mergeCell ref="B18:B21"/>
    <mergeCell ref="A22:A26"/>
    <mergeCell ref="B22:B26"/>
    <mergeCell ref="A9:A13"/>
    <mergeCell ref="B9:B13"/>
    <mergeCell ref="I9:I10"/>
    <mergeCell ref="A14:A17"/>
    <mergeCell ref="K9:K10"/>
    <mergeCell ref="C2:D2"/>
    <mergeCell ref="C3:D3"/>
    <mergeCell ref="C1:J1"/>
    <mergeCell ref="H2:J2"/>
    <mergeCell ref="H3:J3"/>
    <mergeCell ref="G2:G3"/>
    <mergeCell ref="E2:F2"/>
    <mergeCell ref="E3:F3"/>
  </mergeCells>
  <pageMargins left="0.31496062992125984" right="0.23622047244094491" top="0.35433070866141736" bottom="0.27559055118110237" header="0.31496062992125984" footer="0.31496062992125984"/>
  <pageSetup paperSize="9" scale="68"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Rehana Sultana</cp:lastModifiedBy>
  <cp:lastPrinted>2026-01-13T07:57:07Z</cp:lastPrinted>
  <dcterms:created xsi:type="dcterms:W3CDTF">2025-10-25T09:43:11Z</dcterms:created>
  <dcterms:modified xsi:type="dcterms:W3CDTF">2026-03-09T03:59:42Z</dcterms:modified>
</cp:coreProperties>
</file>