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 phase 2\"/>
    </mc:Choice>
  </mc:AlternateContent>
  <bookViews>
    <workbookView xWindow="0" yWindow="0" windowWidth="28800" windowHeight="11700" activeTab="2"/>
  </bookViews>
  <sheets>
    <sheet name="QMML AUDIT CHECKLIST" sheetId="1" r:id="rId1"/>
    <sheet name="WORKING SHEET FOR QMML" sheetId="2" state="hidden" r:id="rId2"/>
    <sheet name="Energy - 23.02.2026 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'Energy - 23.02.2026 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'Energy - 23.02.2026 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28" i="3" l="1"/>
  <c r="J32" i="3" s="1"/>
  <c r="J22" i="3"/>
  <c r="J27" i="3"/>
  <c r="J18" i="3"/>
  <c r="J14" i="3"/>
  <c r="J9" i="3"/>
  <c r="J6" i="3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<sst xmlns="http://schemas.openxmlformats.org/spreadsheetml/2006/main" count="458" uniqueCount="361">
  <si>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</si>
  <si>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</si>
  <si>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</si>
  <si>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</si>
  <si>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</si>
  <si>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</si>
  <si>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</si>
  <si>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</si>
  <si>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</si>
  <si>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</si>
  <si>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</si>
  <si>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</si>
  <si>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</si>
  <si>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</si>
  <si>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</si>
  <si>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</si>
  <si>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</si>
  <si>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</si>
  <si>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</si>
  <si>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</si>
  <si>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</si>
  <si>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</si>
  <si>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</si>
  <si>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</si>
  <si>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</si>
  <si>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</si>
  <si>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</si>
  <si>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</si>
  <si>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</si>
  <si>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</si>
  <si>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</si>
  <si>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</si>
  <si>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</si>
  <si>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</si>
  <si>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</si>
  <si>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</si>
  <si>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</si>
  <si>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</si>
  <si>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</si>
  <si>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</si>
  <si>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</si>
  <si>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</si>
  <si>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</si>
  <si>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</si>
  <si>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</si>
  <si>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</si>
  <si>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</si>
  <si>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</si>
  <si>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</si>
  <si>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</si>
  <si>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</si>
  <si>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</si>
  <si>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</si>
  <si>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</si>
  <si>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</si>
  <si>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</si>
  <si>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</si>
  <si>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</si>
  <si>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</si>
  <si>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</si>
  <si>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</si>
  <si>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</si>
  <si>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</si>
  <si>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</si>
  <si>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</si>
  <si>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</si>
  <si>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</si>
  <si>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</si>
  <si>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</si>
  <si>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</si>
  <si>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</si>
  <si>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</si>
  <si>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</si>
  <si>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</si>
  <si>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</si>
  <si>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</si>
  <si>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</si>
  <si>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</si>
  <si>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</si>
  <si>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</si>
  <si>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</si>
  <si>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</si>
  <si>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</si>
  <si>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</si>
  <si>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</si>
  <si>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</si>
  <si>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</si>
  <si>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</si>
  <si>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</si>
  <si>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</si>
  <si>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</si>
  <si>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</si>
  <si>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</si>
  <si>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</si>
  <si>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</si>
  <si>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</si>
  <si>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</si>
  <si>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</si>
  <si>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</si>
  <si>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</si>
  <si>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</si>
  <si>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</si>
  <si>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</si>
  <si>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</si>
  <si>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</si>
  <si>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</si>
  <si>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</si>
  <si>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</si>
  <si>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</si>
  <si>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</si>
  <si>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</si>
  <si>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</si>
  <si>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</si>
  <si>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</si>
  <si>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</si>
  <si>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</si>
  <si>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</si>
  <si>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</si>
  <si>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</si>
  <si>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</si>
  <si>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</si>
  <si>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</si>
  <si>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</si>
  <si>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</si>
  <si>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</si>
  <si>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</si>
  <si>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</si>
  <si>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</si>
  <si>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</si>
  <si>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</si>
  <si>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</si>
  <si>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</si>
  <si>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</si>
  <si>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</si>
  <si>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</si>
  <si>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</si>
  <si>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</si>
  <si>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</si>
  <si>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</si>
  <si>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</si>
  <si>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</si>
  <si>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</si>
  <si>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</si>
  <si>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</si>
  <si>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</si>
  <si>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</si>
  <si>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</si>
  <si>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</si>
  <si>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</si>
  <si>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</si>
  <si>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</si>
  <si>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</si>
  <si>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</si>
  <si>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</si>
  <si>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</si>
  <si>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</si>
  <si>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</si>
  <si>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</si>
  <si>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</si>
  <si>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</si>
  <si>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</si>
  <si>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</si>
  <si>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</si>
  <si>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</si>
  <si>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</si>
  <si>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</si>
  <si>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</si>
  <si>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</si>
  <si>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</si>
  <si>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</si>
  <si>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</si>
  <si>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</si>
  <si>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</si>
  <si>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</si>
  <si>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</si>
  <si>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</si>
  <si>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</si>
  <si>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</si>
  <si>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</si>
  <si>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</si>
  <si>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</si>
  <si>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</si>
  <si>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</si>
  <si>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</si>
  <si>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</si>
  <si>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</si>
  <si>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</si>
  <si>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</si>
  <si>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</si>
  <si>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</si>
  <si>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</si>
  <si>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</si>
  <si>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</si>
  <si>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</si>
  <si>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</si>
  <si>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</si>
  <si>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</si>
  <si>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</si>
  <si>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</si>
  <si>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</si>
  <si>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</si>
  <si>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</si>
  <si>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</si>
  <si>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</si>
  <si>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</si>
  <si>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</si>
  <si>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</si>
  <si>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</si>
  <si>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</si>
  <si>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</si>
  <si>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</si>
  <si>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</si>
  <si>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</si>
  <si>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</si>
  <si>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</si>
  <si>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</si>
  <si>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</si>
  <si>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</si>
  <si>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</si>
  <si>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</si>
  <si>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</si>
  <si>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</si>
  <si>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</si>
  <si>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</si>
  <si>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</si>
  <si>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</si>
  <si>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</si>
  <si>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</si>
  <si>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</si>
  <si>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</si>
  <si>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</si>
  <si>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</si>
  <si>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</si>
  <si>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</si>
  <si>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</si>
  <si>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</si>
  <si>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</si>
  <si>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</si>
  <si>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</si>
  <si>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</si>
  <si>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</si>
  <si>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</si>
  <si>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</si>
  <si>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</si>
  <si>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</si>
  <si>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</si>
  <si>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</si>
  <si>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</si>
  <si>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</si>
  <si>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</si>
  <si>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</si>
  <si>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</si>
  <si>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</si>
  <si>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</si>
  <si>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</si>
  <si>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</si>
  <si>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</si>
  <si>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</si>
  <si>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</si>
  <si>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</si>
  <si>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</si>
  <si>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</si>
  <si>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</si>
  <si>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</si>
  <si>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</si>
  <si>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</si>
  <si>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</si>
  <si>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</si>
  <si>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</si>
  <si>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</si>
  <si>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</si>
  <si>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</si>
  <si>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</si>
  <si>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</si>
  <si>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</si>
  <si>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</si>
  <si>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</si>
  <si>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</si>
  <si>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</si>
  <si>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</si>
  <si>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</si>
  <si>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</si>
  <si>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</si>
  <si>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</si>
  <si>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</si>
  <si>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</si>
  <si>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</si>
  <si>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</si>
  <si>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</si>
  <si>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</si>
  <si>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</si>
  <si>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</si>
  <si>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</si>
  <si>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</si>
  <si>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</si>
  <si>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</si>
  <si>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</si>
  <si>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</si>
  <si>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</si>
  <si>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</si>
  <si>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</si>
  <si>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</si>
  <si>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</si>
  <si>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Section: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</si>
  <si>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</si>
  <si>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</si>
  <si>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</si>
  <si>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</si>
  <si>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</si>
  <si>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</si>
  <si>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</si>
  <si>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</si>
  <si>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</si>
  <si>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</si>
  <si>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</si>
  <si>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</si>
  <si>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</si>
  <si>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</si>
  <si>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</si>
  <si>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</si>
  <si>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</si>
  <si>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</si>
  <si>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</si>
  <si>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</si>
  <si>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</si>
  <si>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</si>
  <si>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</si>
  <si>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</si>
  <si>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</si>
  <si>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</si>
  <si>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</si>
  <si>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</si>
  <si>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</si>
  <si>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</si>
  <si>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</si>
  <si>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</si>
  <si>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</si>
  <si>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</si>
  <si>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</si>
  <si>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</si>
  <si>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</si>
  <si>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</si>
  <si>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</si>
  <si>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</si>
  <si>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</si>
  <si>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</si>
  <si>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</si>
  <si>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</si>
  <si>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</si>
  <si>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</si>
  <si>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</si>
  <si>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</si>
  <si>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</si>
  <si>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</si>
  <si>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</si>
  <si>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</si>
  <si>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</si>
  <si>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Department: Energy -EMD</t>
  </si>
  <si>
    <t>Rev Date: 23/02/2026</t>
  </si>
  <si>
    <t xml:space="preserve">Auditor: Anandhu Raman </t>
  </si>
  <si>
    <t>Auditee: Enerrgy CFT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</si>
</sst>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69" xfId="0" applyBorder="1" applyAlignment="1">
      <alignment horizontal="center" vertical="center"/>
    </xf>
    <xf numFmtId="0" fontId="0" fillId="0" borderId="43" xfId="0" applyFont="1" applyFill="1" applyBorder="1" applyAlignment="1">
      <alignment horizontal="left" vertical="center" wrapText="1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18"/>
      <c r="B1" s="119"/>
      <c r="C1" s="120" t="s">
        <v>245</v>
      </c>
      <c r="D1" s="121"/>
      <c r="E1" s="121"/>
      <c r="F1" s="121"/>
      <c r="G1" s="121"/>
      <c r="H1" s="121"/>
      <c r="I1" s="121"/>
      <c r="J1" s="121"/>
      <c r="K1" s="121"/>
      <c r="L1" s="121"/>
      <c r="M1" s="122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3" t="s">
        <v>9</v>
      </c>
      <c r="K2" s="124"/>
      <c r="L2" s="124"/>
      <c r="M2" s="125"/>
    </row>
    <row r="3" spans="1:13" ht="37.5" customHeight="1" x14ac:dyDescent="0.25">
      <c r="A3" s="126">
        <v>1</v>
      </c>
      <c r="B3" s="129" t="s">
        <v>10</v>
      </c>
      <c r="C3" s="132" t="s">
        <v>11</v>
      </c>
      <c r="D3" s="135" t="s">
        <v>12</v>
      </c>
      <c r="E3" s="135" t="s">
        <v>13</v>
      </c>
      <c r="F3" s="135" t="s">
        <v>14</v>
      </c>
      <c r="G3" s="135" t="s">
        <v>15</v>
      </c>
      <c r="H3" s="138" t="s">
        <v>16</v>
      </c>
      <c r="I3" s="101"/>
      <c r="J3" s="103"/>
      <c r="K3" s="104"/>
      <c r="L3" s="104"/>
      <c r="M3" s="105"/>
    </row>
    <row r="4" spans="1:13" x14ac:dyDescent="0.25">
      <c r="A4" s="127"/>
      <c r="B4" s="130"/>
      <c r="C4" s="133"/>
      <c r="D4" s="136"/>
      <c r="E4" s="136"/>
      <c r="F4" s="136"/>
      <c r="G4" s="136"/>
      <c r="H4" s="139"/>
      <c r="I4" s="101"/>
      <c r="J4" s="106"/>
      <c r="K4" s="107"/>
      <c r="L4" s="107"/>
      <c r="M4" s="108"/>
    </row>
    <row r="5" spans="1:13" ht="15.75" thickBot="1" x14ac:dyDescent="0.3">
      <c r="A5" s="128"/>
      <c r="B5" s="131"/>
      <c r="C5" s="134"/>
      <c r="D5" s="137"/>
      <c r="E5" s="137"/>
      <c r="F5" s="137"/>
      <c r="G5" s="137"/>
      <c r="H5" s="140"/>
      <c r="I5" s="102"/>
      <c r="J5" s="141"/>
      <c r="K5" s="142"/>
      <c r="L5" s="142"/>
      <c r="M5" s="143"/>
    </row>
    <row r="6" spans="1:13" x14ac:dyDescent="0.25">
      <c r="A6" s="109">
        <v>2</v>
      </c>
      <c r="B6" s="112" t="s">
        <v>17</v>
      </c>
      <c r="C6" s="115" t="s">
        <v>18</v>
      </c>
      <c r="D6" s="88" t="s">
        <v>19</v>
      </c>
      <c r="E6" s="88" t="s">
        <v>20</v>
      </c>
      <c r="F6" s="88" t="s">
        <v>21</v>
      </c>
      <c r="G6" s="91" t="s">
        <v>22</v>
      </c>
      <c r="H6" s="97" t="s">
        <v>23</v>
      </c>
      <c r="I6" s="100"/>
      <c r="J6" s="103"/>
      <c r="K6" s="104"/>
      <c r="L6" s="104"/>
      <c r="M6" s="105"/>
    </row>
    <row r="7" spans="1:13" ht="25.5" customHeight="1" x14ac:dyDescent="0.25">
      <c r="A7" s="110"/>
      <c r="B7" s="113"/>
      <c r="C7" s="116"/>
      <c r="D7" s="89"/>
      <c r="E7" s="89"/>
      <c r="F7" s="89"/>
      <c r="G7" s="92"/>
      <c r="H7" s="98"/>
      <c r="I7" s="101"/>
      <c r="J7" s="106"/>
      <c r="K7" s="107"/>
      <c r="L7" s="107"/>
      <c r="M7" s="108"/>
    </row>
    <row r="8" spans="1:13" ht="25.5" customHeight="1" x14ac:dyDescent="0.25">
      <c r="A8" s="110"/>
      <c r="B8" s="113"/>
      <c r="C8" s="116"/>
      <c r="D8" s="89"/>
      <c r="E8" s="89"/>
      <c r="F8" s="89"/>
      <c r="G8" s="92"/>
      <c r="H8" s="98"/>
      <c r="I8" s="101"/>
      <c r="J8" s="106"/>
      <c r="K8" s="107"/>
      <c r="L8" s="107"/>
      <c r="M8" s="108"/>
    </row>
    <row r="9" spans="1:13" ht="23.25" customHeight="1" thickBot="1" x14ac:dyDescent="0.3">
      <c r="A9" s="111"/>
      <c r="B9" s="114"/>
      <c r="C9" s="117"/>
      <c r="D9" s="90"/>
      <c r="E9" s="90"/>
      <c r="F9" s="90"/>
      <c r="G9" s="93"/>
      <c r="H9" s="99"/>
      <c r="I9" s="102"/>
      <c r="J9" s="106"/>
      <c r="K9" s="107"/>
      <c r="L9" s="107"/>
      <c r="M9" s="108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4"/>
      <c r="K10" s="95"/>
      <c r="L10" s="95"/>
      <c r="M10" s="96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3"/>
      <c r="K11" s="104"/>
      <c r="L11" s="104"/>
      <c r="M11" s="105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4"/>
      <c r="K12" s="95"/>
      <c r="L12" s="95"/>
      <c r="M12" s="96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4"/>
      <c r="K13" s="95"/>
      <c r="L13" s="95"/>
      <c r="M13" s="96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4"/>
      <c r="K14" s="95"/>
      <c r="L14" s="95"/>
      <c r="M14" s="96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7" t="s">
        <v>59</v>
      </c>
      <c r="B1" s="169" t="s">
        <v>60</v>
      </c>
      <c r="C1" s="171" t="s">
        <v>2</v>
      </c>
      <c r="D1" s="173" t="s">
        <v>61</v>
      </c>
      <c r="E1" s="173"/>
      <c r="F1" s="173"/>
      <c r="G1" s="173"/>
      <c r="H1" s="173"/>
      <c r="I1" s="173"/>
    </row>
    <row r="2" spans="1:9" s="27" customFormat="1" ht="18.75" x14ac:dyDescent="0.3">
      <c r="A2" s="168"/>
      <c r="B2" s="170"/>
      <c r="C2" s="172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4">
        <v>1</v>
      </c>
      <c r="B3" s="177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60">
        <v>5</v>
      </c>
    </row>
    <row r="4" spans="1:9" ht="36" customHeight="1" x14ac:dyDescent="0.25">
      <c r="A4" s="175"/>
      <c r="B4" s="158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60"/>
    </row>
    <row r="5" spans="1:9" ht="71.25" customHeight="1" x14ac:dyDescent="0.25">
      <c r="A5" s="175"/>
      <c r="B5" s="158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6"/>
      <c r="B6" s="159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4">
        <v>2</v>
      </c>
      <c r="B7" s="157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60">
        <v>5</v>
      </c>
    </row>
    <row r="8" spans="1:9" ht="60" x14ac:dyDescent="0.25">
      <c r="A8" s="155">
        <v>2</v>
      </c>
      <c r="B8" s="158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60"/>
    </row>
    <row r="9" spans="1:9" ht="30" x14ac:dyDescent="0.25">
      <c r="A9" s="155"/>
      <c r="B9" s="158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5"/>
      <c r="B10" s="158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6"/>
      <c r="B11" s="159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61">
        <v>3</v>
      </c>
      <c r="B12" s="157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5">
        <v>5</v>
      </c>
    </row>
    <row r="13" spans="1:9" ht="45" x14ac:dyDescent="0.25">
      <c r="A13" s="162"/>
      <c r="B13" s="158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6"/>
    </row>
    <row r="14" spans="1:9" ht="63" customHeight="1" x14ac:dyDescent="0.25">
      <c r="A14" s="162"/>
      <c r="B14" s="158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2"/>
      <c r="B15" s="158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3"/>
      <c r="B16" s="164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47">
        <v>4</v>
      </c>
      <c r="B17" s="149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47"/>
      <c r="B18" s="149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47"/>
      <c r="B19" s="149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47"/>
      <c r="B20" s="149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51">
        <v>5</v>
      </c>
      <c r="B21" s="152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51"/>
      <c r="B22" s="152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51"/>
      <c r="B23" s="152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51"/>
      <c r="B24" s="152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51"/>
      <c r="B25" s="152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53">
        <v>6</v>
      </c>
      <c r="B26" s="152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4">
        <v>5</v>
      </c>
    </row>
    <row r="27" spans="1:9" ht="75" x14ac:dyDescent="0.25">
      <c r="A27" s="153"/>
      <c r="B27" s="152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5"/>
    </row>
    <row r="28" spans="1:9" ht="60" x14ac:dyDescent="0.25">
      <c r="A28" s="153"/>
      <c r="B28" s="152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5"/>
    </row>
    <row r="29" spans="1:9" ht="45" x14ac:dyDescent="0.25">
      <c r="A29" s="153"/>
      <c r="B29" s="152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6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47">
        <v>7</v>
      </c>
      <c r="B31" s="149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47"/>
      <c r="B32" s="149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47"/>
      <c r="B33" s="149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48"/>
      <c r="B34" s="150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zoomScale="60" zoomScaleNormal="60" workbookViewId="0">
      <pane xSplit="2" ySplit="5" topLeftCell="C27" activePane="bottomRight" state="frozen"/>
      <selection pane="topRight" activeCell="C1" sqref="C1"/>
      <selection pane="bottomLeft" activeCell="A4" sqref="A4"/>
      <selection pane="bottomRight" activeCell="K37" sqref="K37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6.85546875" style="61" customWidth="1"/>
    <col min="10" max="10" width="12" style="61" customWidth="1"/>
  </cols>
  <sheetData>
    <row r="1" spans="1:10" ht="31.5" customHeight="1" thickBot="1" x14ac:dyDescent="0.3">
      <c r="A1" s="184"/>
      <c r="B1" s="184"/>
      <c r="C1" s="210" t="s">
        <v>300</v>
      </c>
      <c r="D1" s="211"/>
      <c r="E1" s="211"/>
      <c r="F1" s="211"/>
      <c r="G1" s="211"/>
      <c r="H1" s="211"/>
      <c r="I1" s="211"/>
      <c r="J1" s="212"/>
    </row>
    <row r="2" spans="1:10" ht="15.75" thickBot="1" x14ac:dyDescent="0.3">
      <c r="A2" s="184"/>
      <c r="B2" s="184"/>
      <c r="C2" s="207" t="s">
        <v>357</v>
      </c>
      <c r="D2" s="208"/>
      <c r="E2" s="207" t="s">
        <v>360</v>
      </c>
      <c r="F2" s="208"/>
      <c r="G2" s="216" t="s">
        <v>301</v>
      </c>
      <c r="H2" s="207" t="s">
        <v>302</v>
      </c>
      <c r="I2" s="209"/>
      <c r="J2" s="208"/>
    </row>
    <row r="3" spans="1:10" ht="15.75" customHeight="1" thickBot="1" x14ac:dyDescent="0.3">
      <c r="A3" s="142"/>
      <c r="B3" s="142"/>
      <c r="C3" s="209" t="s">
        <v>303</v>
      </c>
      <c r="D3" s="209"/>
      <c r="E3" s="207" t="s">
        <v>359</v>
      </c>
      <c r="F3" s="208"/>
      <c r="G3" s="217"/>
      <c r="H3" s="213" t="s">
        <v>358</v>
      </c>
      <c r="I3" s="214"/>
      <c r="J3" s="215"/>
    </row>
    <row r="4" spans="1:10" ht="18.75" x14ac:dyDescent="0.25">
      <c r="A4" s="167" t="s">
        <v>59</v>
      </c>
      <c r="B4" s="169" t="s">
        <v>60</v>
      </c>
      <c r="C4" s="171" t="s">
        <v>2</v>
      </c>
      <c r="D4" s="179" t="s">
        <v>61</v>
      </c>
      <c r="E4" s="179"/>
      <c r="F4" s="179"/>
      <c r="G4" s="179"/>
      <c r="H4" s="179"/>
      <c r="I4" s="179"/>
      <c r="J4" s="180"/>
    </row>
    <row r="5" spans="1:10" s="27" customFormat="1" ht="18.75" x14ac:dyDescent="0.3">
      <c r="A5" s="168"/>
      <c r="B5" s="170"/>
      <c r="C5" s="172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8" t="s">
        <v>67</v>
      </c>
    </row>
    <row r="6" spans="1:10" ht="96.75" customHeight="1" x14ac:dyDescent="0.25">
      <c r="A6" s="183">
        <v>1</v>
      </c>
      <c r="B6" s="181" t="s">
        <v>10</v>
      </c>
      <c r="C6" s="28" t="s">
        <v>68</v>
      </c>
      <c r="D6" s="87" t="s">
        <v>286</v>
      </c>
      <c r="E6" s="29" t="s">
        <v>287</v>
      </c>
      <c r="F6" s="29" t="s">
        <v>318</v>
      </c>
      <c r="G6" s="29" t="s">
        <v>319</v>
      </c>
      <c r="H6" s="29" t="s">
        <v>317</v>
      </c>
      <c r="I6" s="160">
        <v>3</v>
      </c>
      <c r="J6" s="182">
        <f>I6+I8</f>
        <v>5</v>
      </c>
    </row>
    <row r="7" spans="1:10" ht="94.5" customHeight="1" x14ac:dyDescent="0.25">
      <c r="A7" s="183"/>
      <c r="B7" s="181"/>
      <c r="C7" s="28" t="s">
        <v>74</v>
      </c>
      <c r="D7" s="87" t="s">
        <v>288</v>
      </c>
      <c r="E7" s="87" t="s">
        <v>271</v>
      </c>
      <c r="F7" s="31" t="s">
        <v>272</v>
      </c>
      <c r="G7" s="31" t="s">
        <v>273</v>
      </c>
      <c r="H7" s="31" t="s">
        <v>79</v>
      </c>
      <c r="I7" s="160"/>
      <c r="J7" s="182"/>
    </row>
    <row r="8" spans="1:10" ht="94.5" customHeight="1" x14ac:dyDescent="0.25">
      <c r="A8" s="183"/>
      <c r="B8" s="181"/>
      <c r="C8" s="28" t="s">
        <v>277</v>
      </c>
      <c r="D8" s="87" t="s">
        <v>247</v>
      </c>
      <c r="E8" s="87" t="s">
        <v>248</v>
      </c>
      <c r="F8" s="31" t="s">
        <v>249</v>
      </c>
      <c r="G8" s="31" t="s">
        <v>250</v>
      </c>
      <c r="H8" s="31" t="s">
        <v>251</v>
      </c>
      <c r="I8" s="47">
        <v>2</v>
      </c>
      <c r="J8" s="182"/>
    </row>
    <row r="9" spans="1:10" ht="60" customHeight="1" x14ac:dyDescent="0.25">
      <c r="A9" s="183">
        <v>2</v>
      </c>
      <c r="B9" s="149" t="s">
        <v>17</v>
      </c>
      <c r="C9" s="28" t="s">
        <v>320</v>
      </c>
      <c r="D9" s="87" t="s">
        <v>321</v>
      </c>
      <c r="E9" s="87" t="s">
        <v>322</v>
      </c>
      <c r="F9" s="87" t="s">
        <v>323</v>
      </c>
      <c r="G9" s="31" t="s">
        <v>324</v>
      </c>
      <c r="H9" s="31" t="s">
        <v>325</v>
      </c>
      <c r="I9" s="160">
        <v>3</v>
      </c>
      <c r="J9" s="182">
        <f>I9+I11+I12+I13</f>
        <v>12</v>
      </c>
    </row>
    <row r="10" spans="1:10" ht="45" x14ac:dyDescent="0.25">
      <c r="A10" s="183">
        <v>2</v>
      </c>
      <c r="B10" s="149"/>
      <c r="C10" s="29" t="s">
        <v>289</v>
      </c>
      <c r="D10" s="87" t="s">
        <v>326</v>
      </c>
      <c r="E10" s="87" t="s">
        <v>327</v>
      </c>
      <c r="F10" s="31" t="s">
        <v>328</v>
      </c>
      <c r="G10" s="31" t="s">
        <v>329</v>
      </c>
      <c r="H10" s="31" t="s">
        <v>329</v>
      </c>
      <c r="I10" s="160"/>
      <c r="J10" s="182"/>
    </row>
    <row r="11" spans="1:10" ht="48" customHeight="1" x14ac:dyDescent="0.25">
      <c r="A11" s="183"/>
      <c r="B11" s="149"/>
      <c r="C11" s="68" t="s">
        <v>330</v>
      </c>
      <c r="D11" s="87" t="s">
        <v>98</v>
      </c>
      <c r="E11" s="87" t="s">
        <v>99</v>
      </c>
      <c r="F11" s="29" t="s">
        <v>100</v>
      </c>
      <c r="G11" s="29" t="s">
        <v>101</v>
      </c>
      <c r="H11" s="29" t="s">
        <v>290</v>
      </c>
      <c r="I11" s="75">
        <v>3</v>
      </c>
      <c r="J11" s="182"/>
    </row>
    <row r="12" spans="1:10" ht="83.25" customHeight="1" x14ac:dyDescent="0.25">
      <c r="A12" s="183"/>
      <c r="B12" s="149"/>
      <c r="C12" s="29" t="s">
        <v>260</v>
      </c>
      <c r="D12" s="87" t="s">
        <v>291</v>
      </c>
      <c r="E12" s="87" t="s">
        <v>105</v>
      </c>
      <c r="F12" s="87" t="s">
        <v>106</v>
      </c>
      <c r="G12" s="31" t="s">
        <v>107</v>
      </c>
      <c r="H12" s="31" t="s">
        <v>292</v>
      </c>
      <c r="I12" s="75">
        <v>3</v>
      </c>
      <c r="J12" s="182"/>
    </row>
    <row r="13" spans="1:10" ht="45" x14ac:dyDescent="0.25">
      <c r="A13" s="183"/>
      <c r="B13" s="149"/>
      <c r="C13" s="68" t="s">
        <v>261</v>
      </c>
      <c r="D13" s="87" t="s">
        <v>110</v>
      </c>
      <c r="E13" s="87" t="s">
        <v>111</v>
      </c>
      <c r="F13" s="87" t="s">
        <v>112</v>
      </c>
      <c r="G13" s="29" t="s">
        <v>113</v>
      </c>
      <c r="H13" s="29" t="s">
        <v>114</v>
      </c>
      <c r="I13" s="75">
        <v>3</v>
      </c>
      <c r="J13" s="182"/>
    </row>
    <row r="14" spans="1:10" ht="83.25" customHeight="1" x14ac:dyDescent="0.25">
      <c r="A14" s="147">
        <v>3</v>
      </c>
      <c r="B14" s="149" t="s">
        <v>24</v>
      </c>
      <c r="C14" s="68" t="s">
        <v>115</v>
      </c>
      <c r="D14" s="87" t="s">
        <v>116</v>
      </c>
      <c r="E14" s="87" t="s">
        <v>293</v>
      </c>
      <c r="F14" s="29" t="s">
        <v>118</v>
      </c>
      <c r="G14" s="29" t="s">
        <v>119</v>
      </c>
      <c r="H14" s="29" t="s">
        <v>120</v>
      </c>
      <c r="I14" s="75">
        <v>2</v>
      </c>
      <c r="J14" s="182">
        <f>I14+I15+I16+I17</f>
        <v>8</v>
      </c>
    </row>
    <row r="15" spans="1:10" ht="62.25" customHeight="1" x14ac:dyDescent="0.25">
      <c r="A15" s="147"/>
      <c r="B15" s="149"/>
      <c r="C15" s="29" t="s">
        <v>332</v>
      </c>
      <c r="D15" s="87" t="s">
        <v>333</v>
      </c>
      <c r="E15" s="87" t="s">
        <v>334</v>
      </c>
      <c r="F15" s="87" t="s">
        <v>335</v>
      </c>
      <c r="G15" s="29" t="s">
        <v>331</v>
      </c>
      <c r="H15" s="29" t="s">
        <v>336</v>
      </c>
      <c r="I15" s="75">
        <v>3</v>
      </c>
      <c r="J15" s="182"/>
    </row>
    <row r="16" spans="1:10" ht="75" x14ac:dyDescent="0.25">
      <c r="A16" s="147"/>
      <c r="B16" s="149"/>
      <c r="C16" s="68" t="s">
        <v>133</v>
      </c>
      <c r="D16" s="87" t="s">
        <v>134</v>
      </c>
      <c r="E16" s="87" t="s">
        <v>253</v>
      </c>
      <c r="F16" s="29" t="s">
        <v>254</v>
      </c>
      <c r="G16" s="29" t="s">
        <v>255</v>
      </c>
      <c r="H16" s="29" t="s">
        <v>256</v>
      </c>
      <c r="I16" s="75">
        <v>2</v>
      </c>
      <c r="J16" s="182"/>
    </row>
    <row r="17" spans="1:10" ht="90" x14ac:dyDescent="0.25">
      <c r="A17" s="147"/>
      <c r="B17" s="149"/>
      <c r="C17" s="28" t="s">
        <v>294</v>
      </c>
      <c r="D17" s="87" t="s">
        <v>134</v>
      </c>
      <c r="E17" s="29" t="s">
        <v>135</v>
      </c>
      <c r="F17" s="29" t="s">
        <v>136</v>
      </c>
      <c r="G17" s="29" t="s">
        <v>137</v>
      </c>
      <c r="H17" s="29" t="s">
        <v>138</v>
      </c>
      <c r="I17" s="75">
        <v>1</v>
      </c>
      <c r="J17" s="182"/>
    </row>
    <row r="18" spans="1:10" ht="105" customHeight="1" x14ac:dyDescent="0.25">
      <c r="A18" s="147">
        <v>4</v>
      </c>
      <c r="B18" s="149" t="s">
        <v>31</v>
      </c>
      <c r="C18" s="28" t="s">
        <v>140</v>
      </c>
      <c r="D18" s="87" t="s">
        <v>141</v>
      </c>
      <c r="E18" s="87" t="s">
        <v>295</v>
      </c>
      <c r="F18" s="87" t="s">
        <v>337</v>
      </c>
      <c r="G18" s="29" t="s">
        <v>338</v>
      </c>
      <c r="H18" s="29" t="s">
        <v>339</v>
      </c>
      <c r="I18" s="75">
        <v>3</v>
      </c>
      <c r="J18" s="182">
        <f>I18+I19+I20+I21</f>
        <v>11</v>
      </c>
    </row>
    <row r="19" spans="1:10" ht="91.5" customHeight="1" x14ac:dyDescent="0.25">
      <c r="A19" s="147"/>
      <c r="B19" s="149"/>
      <c r="C19" s="28" t="s">
        <v>146</v>
      </c>
      <c r="D19" s="87" t="s">
        <v>147</v>
      </c>
      <c r="E19" s="87" t="s">
        <v>148</v>
      </c>
      <c r="F19" s="87" t="s">
        <v>304</v>
      </c>
      <c r="G19" s="29" t="s">
        <v>305</v>
      </c>
      <c r="H19" s="29" t="s">
        <v>306</v>
      </c>
      <c r="I19" s="75">
        <v>3</v>
      </c>
      <c r="J19" s="182"/>
    </row>
    <row r="20" spans="1:10" ht="88.5" customHeight="1" x14ac:dyDescent="0.25">
      <c r="A20" s="147"/>
      <c r="B20" s="149"/>
      <c r="C20" s="28" t="s">
        <v>152</v>
      </c>
      <c r="D20" s="87" t="s">
        <v>153</v>
      </c>
      <c r="E20" s="87" t="s">
        <v>154</v>
      </c>
      <c r="F20" s="29" t="s">
        <v>155</v>
      </c>
      <c r="G20" s="29" t="s">
        <v>156</v>
      </c>
      <c r="H20" s="29" t="s">
        <v>157</v>
      </c>
      <c r="I20" s="75">
        <v>2</v>
      </c>
      <c r="J20" s="182"/>
    </row>
    <row r="21" spans="1:10" ht="90" x14ac:dyDescent="0.25">
      <c r="A21" s="147"/>
      <c r="B21" s="149"/>
      <c r="C21" s="28" t="s">
        <v>265</v>
      </c>
      <c r="D21" s="87" t="s">
        <v>159</v>
      </c>
      <c r="E21" s="87" t="s">
        <v>266</v>
      </c>
      <c r="F21" s="87" t="s">
        <v>267</v>
      </c>
      <c r="G21" s="29" t="s">
        <v>269</v>
      </c>
      <c r="H21" s="29" t="s">
        <v>270</v>
      </c>
      <c r="I21" s="75">
        <v>3</v>
      </c>
      <c r="J21" s="182"/>
    </row>
    <row r="22" spans="1:10" ht="90" x14ac:dyDescent="0.25">
      <c r="A22" s="151">
        <v>5</v>
      </c>
      <c r="B22" s="152" t="s">
        <v>164</v>
      </c>
      <c r="C22" s="28" t="s">
        <v>165</v>
      </c>
      <c r="D22" s="87" t="s">
        <v>166</v>
      </c>
      <c r="E22" s="87" t="s">
        <v>167</v>
      </c>
      <c r="F22" s="31" t="s">
        <v>168</v>
      </c>
      <c r="G22" s="31" t="s">
        <v>268</v>
      </c>
      <c r="H22" s="31" t="s">
        <v>170</v>
      </c>
      <c r="I22" s="47">
        <v>2</v>
      </c>
      <c r="J22" s="182">
        <f>I22+I23+I24+I25+I26</f>
        <v>14</v>
      </c>
    </row>
    <row r="23" spans="1:10" ht="117" customHeight="1" x14ac:dyDescent="0.25">
      <c r="A23" s="151"/>
      <c r="B23" s="152"/>
      <c r="C23" s="28" t="s">
        <v>171</v>
      </c>
      <c r="D23" s="87" t="s">
        <v>263</v>
      </c>
      <c r="E23" s="87" t="s">
        <v>264</v>
      </c>
      <c r="F23" s="87" t="s">
        <v>340</v>
      </c>
      <c r="G23" s="31" t="s">
        <v>341</v>
      </c>
      <c r="H23" s="31" t="s">
        <v>342</v>
      </c>
      <c r="I23" s="47">
        <v>3</v>
      </c>
      <c r="J23" s="182"/>
    </row>
    <row r="24" spans="1:10" ht="120" customHeight="1" x14ac:dyDescent="0.25">
      <c r="A24" s="151"/>
      <c r="B24" s="152"/>
      <c r="C24" s="28" t="s">
        <v>177</v>
      </c>
      <c r="D24" s="87" t="s">
        <v>343</v>
      </c>
      <c r="E24" s="87" t="s">
        <v>344</v>
      </c>
      <c r="F24" s="87" t="s">
        <v>345</v>
      </c>
      <c r="G24" s="31" t="s">
        <v>346</v>
      </c>
      <c r="H24" s="31" t="s">
        <v>347</v>
      </c>
      <c r="I24" s="47">
        <v>3</v>
      </c>
      <c r="J24" s="182"/>
    </row>
    <row r="25" spans="1:10" ht="90" x14ac:dyDescent="0.25">
      <c r="A25" s="151"/>
      <c r="B25" s="152"/>
      <c r="C25" s="70" t="s">
        <v>183</v>
      </c>
      <c r="D25" s="87" t="s">
        <v>184</v>
      </c>
      <c r="E25" s="87" t="s">
        <v>185</v>
      </c>
      <c r="F25" s="87" t="s">
        <v>186</v>
      </c>
      <c r="G25" s="31" t="s">
        <v>258</v>
      </c>
      <c r="H25" s="31" t="s">
        <v>259</v>
      </c>
      <c r="I25" s="47">
        <v>3</v>
      </c>
      <c r="J25" s="182"/>
    </row>
    <row r="26" spans="1:10" ht="75" x14ac:dyDescent="0.25">
      <c r="A26" s="151"/>
      <c r="B26" s="152"/>
      <c r="C26" s="70" t="s">
        <v>262</v>
      </c>
      <c r="D26" s="87" t="s">
        <v>184</v>
      </c>
      <c r="E26" s="87" t="s">
        <v>190</v>
      </c>
      <c r="F26" s="87" t="s">
        <v>191</v>
      </c>
      <c r="G26" s="31" t="s">
        <v>192</v>
      </c>
      <c r="H26" s="31" t="s">
        <v>257</v>
      </c>
      <c r="I26" s="47">
        <v>3</v>
      </c>
      <c r="J26" s="182"/>
    </row>
    <row r="27" spans="1:10" ht="105" x14ac:dyDescent="0.25">
      <c r="A27" s="77">
        <v>6</v>
      </c>
      <c r="B27" s="76" t="s">
        <v>246</v>
      </c>
      <c r="C27" s="28" t="s">
        <v>276</v>
      </c>
      <c r="D27" s="87" t="s">
        <v>275</v>
      </c>
      <c r="E27" s="31" t="s">
        <v>252</v>
      </c>
      <c r="F27" s="85" t="s">
        <v>349</v>
      </c>
      <c r="G27" s="86" t="s">
        <v>348</v>
      </c>
      <c r="H27" s="31" t="s">
        <v>274</v>
      </c>
      <c r="I27" s="47">
        <v>1</v>
      </c>
      <c r="J27" s="79">
        <f>I27</f>
        <v>1</v>
      </c>
    </row>
    <row r="28" spans="1:10" ht="90.75" customHeight="1" x14ac:dyDescent="0.25">
      <c r="A28" s="147">
        <v>7</v>
      </c>
      <c r="B28" s="149" t="s">
        <v>52</v>
      </c>
      <c r="C28" s="28" t="s">
        <v>296</v>
      </c>
      <c r="D28" s="87" t="s">
        <v>316</v>
      </c>
      <c r="E28" s="29" t="s">
        <v>315</v>
      </c>
      <c r="F28" s="29" t="s">
        <v>314</v>
      </c>
      <c r="G28" s="29" t="s">
        <v>313</v>
      </c>
      <c r="H28" s="29" t="s">
        <v>312</v>
      </c>
      <c r="I28" s="75">
        <v>1</v>
      </c>
      <c r="J28" s="178">
        <f>I28+I29+I30+I31</f>
        <v>8</v>
      </c>
    </row>
    <row r="29" spans="1:10" ht="104.25" customHeight="1" x14ac:dyDescent="0.25">
      <c r="A29" s="147"/>
      <c r="B29" s="149"/>
      <c r="C29" s="28" t="s">
        <v>297</v>
      </c>
      <c r="D29" s="87" t="s">
        <v>311</v>
      </c>
      <c r="E29" s="29" t="s">
        <v>310</v>
      </c>
      <c r="F29" s="29" t="s">
        <v>309</v>
      </c>
      <c r="G29" s="29" t="s">
        <v>308</v>
      </c>
      <c r="H29" s="29" t="s">
        <v>307</v>
      </c>
      <c r="I29" s="75">
        <v>1</v>
      </c>
      <c r="J29" s="178"/>
    </row>
    <row r="30" spans="1:10" ht="78" customHeight="1" x14ac:dyDescent="0.25">
      <c r="A30" s="147"/>
      <c r="B30" s="149"/>
      <c r="C30" s="28" t="s">
        <v>298</v>
      </c>
      <c r="D30" s="87" t="s">
        <v>352</v>
      </c>
      <c r="E30" s="87" t="s">
        <v>351</v>
      </c>
      <c r="F30" s="87" t="s">
        <v>350</v>
      </c>
      <c r="G30" s="29" t="s">
        <v>353</v>
      </c>
      <c r="H30" s="29" t="s">
        <v>354</v>
      </c>
      <c r="I30" s="75">
        <v>3</v>
      </c>
      <c r="J30" s="178"/>
    </row>
    <row r="31" spans="1:10" ht="96.75" customHeight="1" x14ac:dyDescent="0.25">
      <c r="A31" s="147"/>
      <c r="B31" s="149"/>
      <c r="C31" s="28" t="s">
        <v>299</v>
      </c>
      <c r="D31" s="87" t="s">
        <v>221</v>
      </c>
      <c r="E31" s="87" t="s">
        <v>222</v>
      </c>
      <c r="F31" s="87" t="s">
        <v>223</v>
      </c>
      <c r="G31" s="29" t="s">
        <v>355</v>
      </c>
      <c r="H31" s="29" t="s">
        <v>356</v>
      </c>
      <c r="I31" s="75">
        <v>3</v>
      </c>
      <c r="J31" s="178"/>
    </row>
    <row r="32" spans="1:10" ht="15.75" thickBot="1" x14ac:dyDescent="0.3">
      <c r="A32" s="80"/>
      <c r="B32" s="81"/>
      <c r="C32" s="82"/>
      <c r="D32" s="83"/>
      <c r="E32" s="83"/>
      <c r="F32" s="83"/>
      <c r="G32" s="83"/>
      <c r="H32" s="83"/>
      <c r="I32" s="218">
        <f>AVERAGE(I6:I31)</f>
        <v>2.4583333333333335</v>
      </c>
      <c r="J32" s="84">
        <f>J28+J27+J22+J18+J14+J9+J6</f>
        <v>59</v>
      </c>
    </row>
    <row r="33" spans="1:10" ht="15.75" thickBot="1" x14ac:dyDescent="0.3">
      <c r="A33" s="185" t="s">
        <v>278</v>
      </c>
      <c r="B33" s="186"/>
      <c r="C33" s="186"/>
      <c r="D33" s="186"/>
      <c r="E33" s="186"/>
      <c r="F33" s="186"/>
      <c r="G33" s="186"/>
      <c r="H33" s="186"/>
      <c r="I33" s="186"/>
      <c r="J33" s="187"/>
    </row>
    <row r="34" spans="1:10" ht="30.75" thickBot="1" x14ac:dyDescent="0.3">
      <c r="A34" s="71" t="s">
        <v>279</v>
      </c>
      <c r="B34" s="73" t="s">
        <v>280</v>
      </c>
      <c r="C34" s="94" t="s">
        <v>281</v>
      </c>
      <c r="D34" s="95"/>
      <c r="E34" s="95"/>
      <c r="F34" s="95"/>
      <c r="G34" s="96"/>
      <c r="H34" s="188" t="s">
        <v>285</v>
      </c>
      <c r="I34" s="189"/>
      <c r="J34" s="190"/>
    </row>
    <row r="35" spans="1:10" ht="64.5" customHeight="1" x14ac:dyDescent="0.25">
      <c r="A35" s="71">
        <v>1</v>
      </c>
      <c r="B35" s="72" t="s">
        <v>282</v>
      </c>
      <c r="C35" s="191"/>
      <c r="D35" s="104"/>
      <c r="E35" s="104"/>
      <c r="F35" s="104"/>
      <c r="G35" s="192"/>
      <c r="H35" s="198"/>
      <c r="I35" s="199"/>
      <c r="J35" s="200"/>
    </row>
    <row r="36" spans="1:10" ht="84" customHeight="1" x14ac:dyDescent="0.25">
      <c r="A36" s="71">
        <v>2</v>
      </c>
      <c r="B36" s="72" t="s">
        <v>283</v>
      </c>
      <c r="C36" s="193"/>
      <c r="D36" s="107"/>
      <c r="E36" s="107"/>
      <c r="F36" s="107"/>
      <c r="G36" s="194"/>
      <c r="H36" s="201"/>
      <c r="I36" s="202"/>
      <c r="J36" s="203"/>
    </row>
    <row r="37" spans="1:10" ht="66" customHeight="1" x14ac:dyDescent="0.25">
      <c r="A37" s="71">
        <v>3</v>
      </c>
      <c r="B37" s="72" t="s">
        <v>284</v>
      </c>
      <c r="C37" s="195"/>
      <c r="D37" s="196"/>
      <c r="E37" s="196"/>
      <c r="F37" s="196"/>
      <c r="G37" s="197"/>
      <c r="H37" s="204"/>
      <c r="I37" s="205"/>
      <c r="J37" s="206"/>
    </row>
  </sheetData>
  <mergeCells count="38">
    <mergeCell ref="C2:D2"/>
    <mergeCell ref="C3:D3"/>
    <mergeCell ref="C1:J1"/>
    <mergeCell ref="H2:J2"/>
    <mergeCell ref="H3:J3"/>
    <mergeCell ref="G2:G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Energy - 23.02.2026 </vt:lpstr>
      <vt:lpstr>'Energy - 23.02.2026 '!Print_Area</vt:lpstr>
      <vt:lpstr>'WORKING SHEET FOR QMML'!Print_Area</vt:lpstr>
      <vt:lpstr>'Energy - 23.02.2026 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2026-03-04T10:48:04Z</dcterms:modified>
</cp:coreProperties>
</file>