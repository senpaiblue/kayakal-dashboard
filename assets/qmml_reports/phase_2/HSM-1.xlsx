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sheet'!$A$4:$J$31</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sheet'!$4:$5</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1" l="1"/>
  <c r="K33" i="1"/>
  <c r="K32" i="1"/>
  <c r="J32" i="1"/>
  <c r="I32" i="1"/>
</calcChain>
</file>

<file path=xl/sharedStrings.xml><?xml version="1.0" encoding="utf-8"?>
<sst xmlns="http://schemas.openxmlformats.org/spreadsheetml/2006/main" count="193" uniqueCount="189">
  <si>
    <t>Quality Management System Maturity Level</t>
  </si>
  <si>
    <t>Auditee:</t>
  </si>
  <si>
    <t>MR-QMML-07</t>
  </si>
  <si>
    <t>Issue/Rev-1/8</t>
  </si>
  <si>
    <t>Section:</t>
  </si>
  <si>
    <t>Auditor:</t>
  </si>
  <si>
    <t>Rev Date: 04/02/2026</t>
  </si>
  <si>
    <t>#</t>
  </si>
  <si>
    <t xml:space="preserve">QMS Principles </t>
  </si>
  <si>
    <t>Evidences</t>
  </si>
  <si>
    <t>SCORING CRITERIA</t>
  </si>
  <si>
    <t>Level-1</t>
  </si>
  <si>
    <t>Level-2</t>
  </si>
  <si>
    <t>Level-3</t>
  </si>
  <si>
    <t>Level-4</t>
  </si>
  <si>
    <t>Level-5</t>
  </si>
  <si>
    <t>Score</t>
  </si>
  <si>
    <t>Obtained score</t>
  </si>
  <si>
    <t>Customer Focus</t>
  </si>
  <si>
    <t># CSR- Internal Customer</t>
  </si>
  <si>
    <t>1.Identification of all customers.
2. MoU available for critical customers
3. ICS Index available</t>
  </si>
  <si>
    <t>ICS-80% achieved</t>
  </si>
  <si>
    <t xml:space="preserve">ICS-90% achieved
Zero QFFin last month </t>
  </si>
  <si>
    <t xml:space="preserve">ICS -100%  achieved
Zero QFFin 2 month </t>
  </si>
  <si>
    <t>1. ICS -100% along with Appreciation letters
2. zero QFF in Last 3 months</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</si>
  <si>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</si>
  <si>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</si>
  <si>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</si>
  <si>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</si>
  <si>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</si>
  <si>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</si>
  <si>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</si>
  <si>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</si>
  <si>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</si>
  <si>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</si>
  <si>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</si>
  <si>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</si>
  <si>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</si>
  <si>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</si>
  <si>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</si>
  <si>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</si>
  <si>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</si>
  <si>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</si>
  <si>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</si>
  <si>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 Department Business plan connected to OSM</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</si>
  <si>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</si>
  <si>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</si>
  <si>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</si>
  <si>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</si>
  <si>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</si>
  <si>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</si>
  <si>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</si>
  <si>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</si>
  <si>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</si>
  <si>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</si>
  <si>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</si>
  <si>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</si>
  <si>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</si>
  <si>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</si>
  <si>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</si>
  <si>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</si>
  <si>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</si>
  <si>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</si>
  <si>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</si>
  <si>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</si>
  <si>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</si>
  <si>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</si>
  <si>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</si>
  <si>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</si>
  <si>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</si>
  <si>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</si>
  <si>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</si>
  <si>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</si>
  <si>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</si>
  <si>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Adoption of 0757 at the shopfloor</t>
  </si>
  <si>
    <t>Achieving 0 Injury,</t>
  </si>
  <si>
    <t>Achieving 0 Injury, Zero Defect,</t>
  </si>
  <si>
    <t xml:space="preserve">Achieving 0 Injury, Zero Defect, Zero Waste </t>
  </si>
  <si>
    <t>Achieving 0 Injury, Zero Defect, Zero Waste and Zero Breakdown</t>
  </si>
  <si>
    <t>Achieving 0 Injury, Zero Defect, Zero Waste and Zero Breakdown for 3 months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</si>
  <si>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</si>
  <si>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</si>
  <si>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</si>
  <si>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</si>
  <si>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</si>
  <si>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</si>
  <si>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</si>
  <si>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</si>
  <si>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</si>
  <si>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</si>
  <si>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</si>
  <si>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</si>
  <si>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</si>
  <si>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</si>
  <si>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</si>
  <si>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</si>
  <si>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</si>
  <si>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</si>
  <si>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 xml:space="preserve"># Review mechanism </t>
  </si>
  <si>
    <t>un-organized review mechanism</t>
  </si>
  <si>
    <t>Review forums identified and carried out</t>
  </si>
  <si>
    <t>DM Meetings, DQC conducted as per the frequency and Issues resolved</t>
  </si>
  <si>
    <t>evidences of DM Meetings, DQC conducted resulting in identification of  CFT Projects</t>
  </si>
  <si>
    <t>effective usage of DM Meetings,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</si>
  <si>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</si>
  <si>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</si>
  <si>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</si>
  <si>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</si>
  <si>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</si>
  <si>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</si>
  <si>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</si>
  <si>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</si>
  <si>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</si>
  <si>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</si>
  <si>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</si>
  <si>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</si>
  <si>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</si>
  <si>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</si>
  <si>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</si>
  <si>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</si>
  <si>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</si>
  <si>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</si>
  <si>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</si>
  <si>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</si>
  <si>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</si>
  <si>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</si>
  <si>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</si>
  <si>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</si>
  <si>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</si>
  <si>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 External Audit </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</si>
  <si>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</si>
  <si>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</si>
  <si>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</si>
  <si>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</si>
  <si>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</si>
  <si>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</si>
  <si>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</si>
  <si>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</si>
  <si>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</si>
  <si>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</si>
  <si>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</si>
  <si>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</si>
  <si>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</si>
  <si>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</si>
  <si>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</si>
  <si>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</si>
  <si>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</si>
  <si>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</si>
  <si>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</si>
  <si>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</si>
  <si>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problem solving and Improvement through CAPA approach/ ESDR</t>
  </si>
  <si>
    <t xml:space="preserve">Supplier Score card procedure available with perfromance criteria, used best practices within India- For Contractor evaluation &gt;50% CSM rating. For supplier &gt;40% evaluation </t>
  </si>
  <si>
    <t>Supplier actively participates in improving quality and standards.</t>
  </si>
  <si>
    <t>Continual Improvement</t>
  </si>
  <si>
    <t># Kaizen &amp; effectiveness
M-KPI, C-KPI  0.5%/year</t>
  </si>
  <si>
    <t xml:space="preserve">L07 and Below 0.4 kaizens per person per year, , and aligned with M-KPI and C-KPI, Kaizen supports to improve KPI </t>
  </si>
  <si>
    <t xml:space="preserve">L07 and Below 0.6 kaizens per person per year, , and aligned with M-KPI and C-KPI, Kaizen supports to improve KPI </t>
  </si>
  <si>
    <t xml:space="preserve">L07 and Below 0.8 kaizens per person per year, , and aligned with M-KPI and C-KPI, Kaizen supports to improve KPI </t>
  </si>
  <si>
    <t xml:space="preserve">L07 and Below 1 kaizens per person per year, , and aligned with M-KPI and C-KPI, Kaizen supports to improve KPI </t>
  </si>
  <si>
    <t xml:space="preserve">L07 and Below 2 kaizens per person per year, , and aligned with M-KPI and C-KPI, Kaizen supports to improve KPI </t>
  </si>
  <si>
    <t># Project  &amp; effectiveness 
Objectives in OSM 0.5%/year</t>
  </si>
  <si>
    <t xml:space="preserve">L08  and above 0.2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</si>
  <si>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</si>
  <si>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</si>
  <si>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</si>
  <si>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one Project per person per year  completion , and aligned with M-KPI and C-KPI, Project supports to improve KPI </t>
  </si>
  <si>
    <t># Corrective action effectiveness 
KPI- Gap Analysis 0.5%/year</t>
  </si>
  <si>
    <t>Corrective action, Abnormality Analysis Form, RCFA,  available with own Criteria used</t>
  </si>
  <si>
    <t>Corrective action(CA) AAF, RCFA available with planned and TQM Criteria used</t>
  </si>
  <si>
    <t>CA, AAF,RCFA available with planned and TQM Criteria used, and aligned with M-KPI and C-KPI</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</si>
  <si>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</si>
  <si>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</si>
  <si>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</si>
  <si>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</si>
  <si>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</si>
  <si>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</si>
  <si>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KPI</t>
  </si>
  <si>
    <t>DQC, Departmental TQM Council (DTC) meetings conducted with plan, linked to IMS KPI, TQM activity support to improve KPI</t>
  </si>
  <si>
    <t>Assessment Summary</t>
  </si>
  <si>
    <t>S N</t>
  </si>
  <si>
    <t>Evalauation Criteria</t>
  </si>
  <si>
    <t>Specific Observations</t>
  </si>
  <si>
    <t>General Observations</t>
  </si>
  <si>
    <t>SCORE</t>
  </si>
  <si>
    <r>
      <rPr>
        <b/>
        <sz val="24"/>
        <color theme="1"/>
        <rFont val="Calibri"/>
        <family val="2"/>
        <scheme val="minor"/>
      </rPr>
      <t>√</t>
    </r>
    <r>
      <rPr>
        <b/>
        <sz val="11"/>
        <color theme="1"/>
        <rFont val="Calibri"/>
        <family val="2"/>
        <scheme val="minor"/>
      </rPr>
      <t xml:space="preserve">                                Assessment Taken up      </t>
    </r>
  </si>
  <si>
    <t>Assessment Could not be completed De to Lack of Understanding</t>
  </si>
  <si>
    <t>Assessment Not taken up due to no Preparation</t>
  </si>
  <si>
    <t>Department: HSM-1</t>
  </si>
  <si>
    <t xml:space="preserve">No plan for multiskilling available.                                                                                                                                                                                                                                                                                                          Issues are not listed out and no training plan available for issue based training.                                                                                                        Only process changes available, product and system changes should be focused.                                                                                                                 Date is not mentioned in the forms of change management.                                                                                                                                                         More projects should be initiated.                                                                                                                                                                                                                                                                                                                                                                                                                                                                       No NC for external audit but no horizontal deloyment of other department NCs.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</si>
</sst>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Arial"/>
      <family val="2"/>
    </font>
    <font>
      <b/>
      <sz val="14"/>
      <color theme="1"/>
      <name val="Calibri"/>
      <family val="2"/>
      <scheme val="minor"/>
    </font>
    <font>
      <sz val="10"/>
      <color theme="1"/>
      <name val="Arial"/>
      <family val="2"/>
    </font>
    <font>
      <b/>
      <sz val="22"/>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FF00"/>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3" xfId="0" applyBorder="1"/>
    <xf numFmtId="0" fontId="0" fillId="0" borderId="5" xfId="0" applyBorder="1"/>
    <xf numFmtId="0" fontId="0" fillId="0" borderId="7" xfId="0" applyBorder="1"/>
    <xf numFmtId="0" fontId="4" fillId="3" borderId="13" xfId="0" applyFont="1" applyFill="1" applyBorder="1" applyAlignment="1">
      <alignment horizont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0" fillId="0" borderId="0" xfId="0" applyAlignment="1">
      <alignment horizontal="center"/>
    </xf>
    <xf numFmtId="0" fontId="5" fillId="0" borderId="13" xfId="0" applyFont="1" applyFill="1" applyBorder="1" applyAlignment="1">
      <alignment horizontal="left" vertical="center" wrapText="1"/>
    </xf>
    <xf numFmtId="0" fontId="0" fillId="4" borderId="13" xfId="0" applyFill="1" applyBorder="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center" vertical="center"/>
    </xf>
    <xf numFmtId="0" fontId="0" fillId="0" borderId="13" xfId="0" applyFill="1" applyBorder="1" applyAlignment="1">
      <alignment horizontal="left" vertical="center" wrapText="1"/>
    </xf>
    <xf numFmtId="0" fontId="0" fillId="0" borderId="13" xfId="0" applyFill="1" applyBorder="1" applyAlignment="1">
      <alignment horizontal="center" vertical="center"/>
    </xf>
    <xf numFmtId="0" fontId="0" fillId="0" borderId="13" xfId="0" applyBorder="1" applyAlignment="1">
      <alignment horizontal="left" vertical="center"/>
    </xf>
    <xf numFmtId="0" fontId="5" fillId="0" borderId="13" xfId="0" applyFont="1" applyFill="1" applyBorder="1" applyAlignment="1">
      <alignment vertical="center" wrapText="1"/>
    </xf>
    <xf numFmtId="0" fontId="1" fillId="0" borderId="12" xfId="0" applyFont="1" applyFill="1" applyBorder="1" applyAlignment="1">
      <alignment horizontal="center" vertical="center"/>
    </xf>
    <xf numFmtId="0" fontId="1" fillId="0" borderId="13" xfId="0" applyFont="1" applyFill="1" applyBorder="1" applyAlignment="1">
      <alignment horizontal="left" vertical="center" wrapText="1"/>
    </xf>
    <xf numFmtId="0" fontId="0" fillId="0" borderId="14" xfId="0" applyBorder="1" applyAlignment="1">
      <alignment horizontal="center" vertical="center"/>
    </xf>
    <xf numFmtId="0" fontId="1" fillId="0" borderId="15" xfId="0" applyFont="1" applyBorder="1" applyAlignment="1">
      <alignment horizontal="center"/>
    </xf>
    <xf numFmtId="0" fontId="1" fillId="0" borderId="16" xfId="0" applyFont="1" applyBorder="1" applyAlignment="1">
      <alignment wrapText="1"/>
    </xf>
    <xf numFmtId="0" fontId="0" fillId="0" borderId="16" xfId="0" applyBorder="1"/>
    <xf numFmtId="0" fontId="0" fillId="0" borderId="16" xfId="0" applyBorder="1" applyAlignment="1">
      <alignment wrapText="1"/>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13" xfId="0" applyFont="1" applyBorder="1"/>
    <xf numFmtId="2" fontId="1" fillId="0" borderId="0" xfId="0" applyNumberFormat="1" applyFont="1"/>
    <xf numFmtId="0" fontId="1" fillId="0" borderId="13" xfId="0" applyFont="1" applyBorder="1" applyAlignment="1">
      <alignment horizontal="center"/>
    </xf>
    <xf numFmtId="0" fontId="1" fillId="0" borderId="14" xfId="0" applyFont="1" applyBorder="1" applyAlignment="1">
      <alignment wrapText="1"/>
    </xf>
    <xf numFmtId="0" fontId="6" fillId="5" borderId="13" xfId="0" applyFont="1" applyFill="1" applyBorder="1"/>
    <xf numFmtId="0" fontId="1" fillId="0" borderId="13" xfId="0" applyFont="1" applyBorder="1" applyAlignment="1">
      <alignment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4" borderId="13" xfId="0" applyFont="1" applyFill="1" applyBorder="1" applyAlignment="1">
      <alignment horizontal="left" vertical="center" wrapText="1"/>
    </xf>
    <xf numFmtId="0" fontId="0" fillId="4" borderId="11" xfId="0" applyFont="1" applyFill="1" applyBorder="1" applyAlignment="1">
      <alignment horizontal="left" vertical="center" wrapText="1"/>
    </xf>
    <xf numFmtId="0" fontId="0" fillId="3" borderId="11" xfId="0" applyFill="1" applyBorder="1"/>
    <xf numFmtId="0" fontId="1" fillId="3" borderId="13" xfId="0" applyFont="1" applyFill="1" applyBorder="1" applyAlignment="1">
      <alignment horizontal="center" wrapText="1"/>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center" wrapText="1"/>
    </xf>
    <xf numFmtId="0" fontId="0" fillId="0" borderId="14" xfId="0" applyFill="1" applyBorder="1" applyAlignment="1">
      <alignment horizontal="center" vertical="center"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14" xfId="0" applyBorder="1" applyAlignment="1">
      <alignment horizontal="center" vertical="center"/>
    </xf>
    <xf numFmtId="0" fontId="1" fillId="0" borderId="12" xfId="0" applyFont="1" applyFill="1" applyBorder="1" applyAlignment="1">
      <alignment horizontal="center"/>
    </xf>
    <xf numFmtId="0" fontId="1" fillId="0" borderId="13" xfId="0" applyFont="1" applyFill="1" applyBorder="1" applyAlignment="1">
      <alignment horizontal="left" vertical="center" wrapText="1"/>
    </xf>
    <xf numFmtId="0" fontId="1" fillId="0" borderId="12" xfId="0" applyFont="1" applyBorder="1" applyAlignment="1">
      <alignment horizontal="center" vertical="center" wrapText="1"/>
    </xf>
    <xf numFmtId="0" fontId="0" fillId="0" borderId="13" xfId="0" applyBorder="1" applyAlignment="1">
      <alignment horizontal="center" vertical="center"/>
    </xf>
    <xf numFmtId="0" fontId="3" fillId="2" borderId="8"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1" fillId="0" borderId="13" xfId="0" applyFont="1" applyBorder="1" applyAlignment="1">
      <alignment horizontal="center" vertical="center" wrapText="1"/>
    </xf>
    <xf numFmtId="0" fontId="0" fillId="0" borderId="0" xfId="0" applyAlignment="1">
      <alignment horizontal="center"/>
    </xf>
    <xf numFmtId="0" fontId="0" fillId="0" borderId="6" xfId="0"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1" fillId="0" borderId="1" xfId="0" applyFont="1" applyBorder="1" applyAlignment="1">
      <alignment horizontal="left"/>
    </xf>
    <xf numFmtId="0" fontId="1" fillId="0" borderId="4" xfId="0" applyFont="1" applyBorder="1" applyAlignment="1">
      <alignment horizontal="left"/>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33" activePane="bottomRight" state="frozen"/>
      <selection pane="topRight" activeCell="C1" sqref="C1"/>
      <selection pane="bottomLeft" activeCell="A4" sqref="A4"/>
      <selection pane="bottomRight" activeCell="R24" sqref="R24"/>
    </sheetView>
  </sheetViews>
  <sheetFormatPr defaultRowHeight="15" x14ac:dyDescent="0.25"/>
  <cols>
    <col min="1" max="1" width="5.7109375" style="31" bestFit="1" customWidth="1"/>
    <col min="2" max="2" width="18.140625" style="32" customWidth="1"/>
    <col min="3" max="3" width="23.85546875" customWidth="1"/>
    <col min="4" max="8" width="27.85546875" style="33" customWidth="1"/>
    <col min="9" max="9" width="11.5703125" style="34" customWidth="1"/>
    <col min="10" max="10" width="9.140625" style="34"/>
    <col min="11" max="11" width="11" customWidth="1"/>
    <col min="13" max="13" width="12.42578125" customWidth="1"/>
    <col min="14" max="14" width="10.5703125" customWidth="1"/>
  </cols>
  <sheetData>
    <row r="1" spans="1:11" ht="31.5" customHeight="1" thickBot="1" x14ac:dyDescent="0.3">
      <c r="A1" s="74"/>
      <c r="B1" s="74"/>
      <c r="C1" s="76" t="s">
        <v>0</v>
      </c>
      <c r="D1" s="77"/>
      <c r="E1" s="77"/>
      <c r="F1" s="77"/>
      <c r="G1" s="77"/>
      <c r="H1" s="77"/>
      <c r="I1" s="77"/>
      <c r="J1" s="77"/>
      <c r="K1" s="1"/>
    </row>
    <row r="2" spans="1:11" ht="15.75" thickBot="1" x14ac:dyDescent="0.3">
      <c r="A2" s="74"/>
      <c r="B2" s="74"/>
      <c r="C2" s="78" t="s">
        <v>187</v>
      </c>
      <c r="D2" s="79"/>
      <c r="E2" s="78" t="s">
        <v>1</v>
      </c>
      <c r="F2" s="79"/>
      <c r="G2" s="80" t="s">
        <v>2</v>
      </c>
      <c r="H2" s="78" t="s">
        <v>3</v>
      </c>
      <c r="I2" s="82"/>
      <c r="J2" s="82"/>
      <c r="K2" s="2"/>
    </row>
    <row r="3" spans="1:11" ht="15.75" customHeight="1" thickBot="1" x14ac:dyDescent="0.3">
      <c r="A3" s="75"/>
      <c r="B3" s="75"/>
      <c r="C3" s="82" t="s">
        <v>4</v>
      </c>
      <c r="D3" s="82"/>
      <c r="E3" s="78" t="s">
        <v>5</v>
      </c>
      <c r="F3" s="79"/>
      <c r="G3" s="81"/>
      <c r="H3" s="83" t="s">
        <v>6</v>
      </c>
      <c r="I3" s="84"/>
      <c r="J3" s="84"/>
      <c r="K3" s="3"/>
    </row>
    <row r="4" spans="1:11" ht="18.75" x14ac:dyDescent="0.25">
      <c r="A4" s="65" t="s">
        <v>7</v>
      </c>
      <c r="B4" s="67" t="s">
        <v>8</v>
      </c>
      <c r="C4" s="69" t="s">
        <v>9</v>
      </c>
      <c r="D4" s="71" t="s">
        <v>10</v>
      </c>
      <c r="E4" s="71"/>
      <c r="F4" s="71"/>
      <c r="G4" s="71"/>
      <c r="H4" s="71"/>
      <c r="I4" s="71"/>
      <c r="J4" s="72"/>
      <c r="K4" s="37"/>
    </row>
    <row r="5" spans="1:11" s="7" customFormat="1" ht="30.75" x14ac:dyDescent="0.3">
      <c r="A5" s="66"/>
      <c r="B5" s="68"/>
      <c r="C5" s="70"/>
      <c r="D5" s="4" t="s">
        <v>11</v>
      </c>
      <c r="E5" s="4" t="s">
        <v>12</v>
      </c>
      <c r="F5" s="4" t="s">
        <v>13</v>
      </c>
      <c r="G5" s="4" t="s">
        <v>14</v>
      </c>
      <c r="H5" s="4" t="s">
        <v>15</v>
      </c>
      <c r="I5" s="5" t="s">
        <v>16</v>
      </c>
      <c r="J5" s="6" t="s">
        <v>16</v>
      </c>
      <c r="K5" s="38" t="s">
        <v>17</v>
      </c>
    </row>
    <row r="6" spans="1:11" ht="96.75" customHeight="1" x14ac:dyDescent="0.25">
      <c r="A6" s="63">
        <v>1</v>
      </c>
      <c r="B6" s="73" t="s">
        <v>18</v>
      </c>
      <c r="C6" s="8" t="s">
        <v>19</v>
      </c>
      <c r="D6" s="9" t="s">
        <v>20</v>
      </c>
      <c r="E6" s="12" t="s">
        <v>21</v>
      </c>
      <c r="F6" s="12" t="s">
        <v>22</v>
      </c>
      <c r="G6" s="10" t="s">
        <v>23</v>
      </c>
      <c r="H6" s="10" t="s">
        <v>24</v>
      </c>
      <c r="I6" s="64">
        <v>10</v>
      </c>
      <c r="J6" s="60">
        <v>15</v>
      </c>
      <c r="K6" s="11">
        <v>1</v>
      </c>
    </row>
    <row r="7" spans="1:11" ht="94.5" customHeight="1" x14ac:dyDescent="0.25">
      <c r="A7" s="63"/>
      <c r="B7" s="73"/>
      <c r="C7" s="8" t="s">
        <v>25</v>
      </c>
      <c r="D7" s="9" t="s">
        <v>26</v>
      </c>
      <c r="E7" s="9" t="s">
        <v>27</v>
      </c>
      <c r="F7" s="9" t="s">
        <v>28</v>
      </c>
      <c r="G7" s="12" t="s">
        <v>29</v>
      </c>
      <c r="H7" s="12" t="s">
        <v>30</v>
      </c>
      <c r="I7" s="64"/>
      <c r="J7" s="60"/>
      <c r="K7" s="11">
        <v>3</v>
      </c>
    </row>
    <row r="8" spans="1:11" ht="94.5" customHeight="1" x14ac:dyDescent="0.25">
      <c r="A8" s="63"/>
      <c r="B8" s="73"/>
      <c r="C8" s="8" t="s">
        <v>31</v>
      </c>
      <c r="D8" s="9" t="s">
        <v>32</v>
      </c>
      <c r="E8" s="9" t="s">
        <v>33</v>
      </c>
      <c r="F8" s="9" t="s">
        <v>34</v>
      </c>
      <c r="G8" s="9" t="s">
        <v>35</v>
      </c>
      <c r="H8" s="9" t="s">
        <v>36</v>
      </c>
      <c r="I8" s="13">
        <v>5</v>
      </c>
      <c r="J8" s="60"/>
      <c r="K8" s="11">
        <v>5</v>
      </c>
    </row>
    <row r="9" spans="1:11" ht="60" customHeight="1" x14ac:dyDescent="0.25">
      <c r="A9" s="63">
        <v>2</v>
      </c>
      <c r="B9" s="49" t="s">
        <v>37</v>
      </c>
      <c r="C9" s="8" t="s">
        <v>38</v>
      </c>
      <c r="D9" s="9" t="s">
        <v>39</v>
      </c>
      <c r="E9" s="9" t="s">
        <v>40</v>
      </c>
      <c r="F9" s="9" t="s">
        <v>41</v>
      </c>
      <c r="G9" s="9" t="s">
        <v>42</v>
      </c>
      <c r="H9" s="9" t="s">
        <v>43</v>
      </c>
      <c r="I9" s="64">
        <v>5</v>
      </c>
      <c r="J9" s="60">
        <v>20</v>
      </c>
      <c r="K9" s="64">
        <v>4</v>
      </c>
    </row>
    <row r="10" spans="1:11" ht="45" x14ac:dyDescent="0.25">
      <c r="A10" s="63">
        <v>2</v>
      </c>
      <c r="B10" s="49"/>
      <c r="C10" s="10" t="s">
        <v>44</v>
      </c>
      <c r="D10" s="9" t="s">
        <v>45</v>
      </c>
      <c r="E10" s="9" t="s">
        <v>46</v>
      </c>
      <c r="F10" s="9" t="s">
        <v>47</v>
      </c>
      <c r="G10" s="12" t="s">
        <v>48</v>
      </c>
      <c r="H10" s="12" t="s">
        <v>48</v>
      </c>
      <c r="I10" s="64"/>
      <c r="J10" s="60"/>
      <c r="K10" s="64"/>
    </row>
    <row r="11" spans="1:11" ht="48" customHeight="1" x14ac:dyDescent="0.25">
      <c r="A11" s="63"/>
      <c r="B11" s="49"/>
      <c r="C11" s="14" t="s">
        <v>49</v>
      </c>
      <c r="D11" s="9" t="s">
        <v>50</v>
      </c>
      <c r="E11" s="9" t="s">
        <v>51</v>
      </c>
      <c r="F11" s="9" t="s">
        <v>52</v>
      </c>
      <c r="G11" s="9" t="s">
        <v>53</v>
      </c>
      <c r="H11" s="9" t="s">
        <v>54</v>
      </c>
      <c r="I11" s="11">
        <v>5</v>
      </c>
      <c r="J11" s="60"/>
      <c r="K11" s="11">
        <v>5</v>
      </c>
    </row>
    <row r="12" spans="1:11" ht="83.25" customHeight="1" x14ac:dyDescent="0.25">
      <c r="A12" s="63"/>
      <c r="B12" s="49"/>
      <c r="C12" s="10" t="s">
        <v>55</v>
      </c>
      <c r="D12" s="9" t="s">
        <v>56</v>
      </c>
      <c r="E12" s="9" t="s">
        <v>57</v>
      </c>
      <c r="F12" s="9" t="s">
        <v>58</v>
      </c>
      <c r="G12" s="9" t="s">
        <v>59</v>
      </c>
      <c r="H12" s="12" t="s">
        <v>60</v>
      </c>
      <c r="I12" s="11">
        <v>5</v>
      </c>
      <c r="J12" s="60"/>
      <c r="K12" s="11">
        <v>4</v>
      </c>
    </row>
    <row r="13" spans="1:11" ht="45" x14ac:dyDescent="0.25">
      <c r="A13" s="63"/>
      <c r="B13" s="49"/>
      <c r="C13" s="14" t="s">
        <v>61</v>
      </c>
      <c r="D13" s="9" t="s">
        <v>62</v>
      </c>
      <c r="E13" s="9" t="s">
        <v>63</v>
      </c>
      <c r="F13" s="9" t="s">
        <v>64</v>
      </c>
      <c r="G13" s="9" t="s">
        <v>65</v>
      </c>
      <c r="H13" s="10" t="s">
        <v>66</v>
      </c>
      <c r="I13" s="11">
        <v>5</v>
      </c>
      <c r="J13" s="60"/>
      <c r="K13" s="11">
        <v>4</v>
      </c>
    </row>
    <row r="14" spans="1:11" ht="83.25" customHeight="1" x14ac:dyDescent="0.25">
      <c r="A14" s="48">
        <v>3</v>
      </c>
      <c r="B14" s="49" t="s">
        <v>67</v>
      </c>
      <c r="C14" s="14" t="s">
        <v>68</v>
      </c>
      <c r="D14" s="9" t="s">
        <v>69</v>
      </c>
      <c r="E14" s="9" t="s">
        <v>70</v>
      </c>
      <c r="F14" s="9" t="s">
        <v>71</v>
      </c>
      <c r="G14" s="9" t="s">
        <v>72</v>
      </c>
      <c r="H14" s="9" t="s">
        <v>73</v>
      </c>
      <c r="I14" s="11">
        <v>5</v>
      </c>
      <c r="J14" s="60">
        <v>20</v>
      </c>
      <c r="K14" s="11">
        <v>5</v>
      </c>
    </row>
    <row r="15" spans="1:11" ht="62.25" customHeight="1" x14ac:dyDescent="0.25">
      <c r="A15" s="48"/>
      <c r="B15" s="49"/>
      <c r="C15" s="10" t="s">
        <v>74</v>
      </c>
      <c r="D15" s="9" t="s">
        <v>75</v>
      </c>
      <c r="E15" s="12" t="s">
        <v>76</v>
      </c>
      <c r="F15" s="12" t="s">
        <v>77</v>
      </c>
      <c r="G15" s="12" t="s">
        <v>78</v>
      </c>
      <c r="H15" s="12" t="s">
        <v>79</v>
      </c>
      <c r="I15" s="11">
        <v>5</v>
      </c>
      <c r="J15" s="60"/>
      <c r="K15" s="11">
        <v>1</v>
      </c>
    </row>
    <row r="16" spans="1:11" ht="75" x14ac:dyDescent="0.25">
      <c r="A16" s="48"/>
      <c r="B16" s="49"/>
      <c r="C16" s="14" t="s">
        <v>80</v>
      </c>
      <c r="D16" s="9" t="s">
        <v>81</v>
      </c>
      <c r="E16" s="10" t="s">
        <v>82</v>
      </c>
      <c r="F16" s="10" t="s">
        <v>83</v>
      </c>
      <c r="G16" s="10" t="s">
        <v>84</v>
      </c>
      <c r="H16" s="10" t="s">
        <v>85</v>
      </c>
      <c r="I16" s="11">
        <v>5</v>
      </c>
      <c r="J16" s="60"/>
      <c r="K16" s="11">
        <v>1</v>
      </c>
    </row>
    <row r="17" spans="1:11" ht="90" x14ac:dyDescent="0.25">
      <c r="A17" s="48"/>
      <c r="B17" s="49"/>
      <c r="C17" s="8" t="s">
        <v>86</v>
      </c>
      <c r="D17" s="9" t="s">
        <v>81</v>
      </c>
      <c r="E17" s="9" t="s">
        <v>87</v>
      </c>
      <c r="F17" s="10" t="s">
        <v>88</v>
      </c>
      <c r="G17" s="10" t="s">
        <v>89</v>
      </c>
      <c r="H17" s="10" t="s">
        <v>90</v>
      </c>
      <c r="I17" s="11">
        <v>5</v>
      </c>
      <c r="J17" s="60"/>
      <c r="K17" s="11">
        <v>2</v>
      </c>
    </row>
    <row r="18" spans="1:11" ht="105" customHeight="1" x14ac:dyDescent="0.25">
      <c r="A18" s="48">
        <v>4</v>
      </c>
      <c r="B18" s="49" t="s">
        <v>91</v>
      </c>
      <c r="C18" s="8" t="s">
        <v>92</v>
      </c>
      <c r="D18" s="9" t="s">
        <v>93</v>
      </c>
      <c r="E18" s="9" t="s">
        <v>94</v>
      </c>
      <c r="F18" s="9" t="s">
        <v>95</v>
      </c>
      <c r="G18" s="9" t="s">
        <v>96</v>
      </c>
      <c r="H18" s="10" t="s">
        <v>97</v>
      </c>
      <c r="I18" s="11">
        <v>5</v>
      </c>
      <c r="J18" s="60">
        <v>20</v>
      </c>
      <c r="K18" s="11">
        <v>4</v>
      </c>
    </row>
    <row r="19" spans="1:11" ht="91.5" customHeight="1" x14ac:dyDescent="0.25">
      <c r="A19" s="48"/>
      <c r="B19" s="49"/>
      <c r="C19" s="8" t="s">
        <v>98</v>
      </c>
      <c r="D19" s="9" t="s">
        <v>99</v>
      </c>
      <c r="E19" s="9" t="s">
        <v>100</v>
      </c>
      <c r="F19" s="9" t="s">
        <v>101</v>
      </c>
      <c r="G19" s="9" t="s">
        <v>102</v>
      </c>
      <c r="H19" s="10" t="s">
        <v>103</v>
      </c>
      <c r="I19" s="11">
        <v>5</v>
      </c>
      <c r="J19" s="60"/>
      <c r="K19" s="11">
        <v>4</v>
      </c>
    </row>
    <row r="20" spans="1:11" ht="88.5" customHeight="1" x14ac:dyDescent="0.25">
      <c r="A20" s="48"/>
      <c r="B20" s="49"/>
      <c r="C20" s="8" t="s">
        <v>104</v>
      </c>
      <c r="D20" s="9" t="s">
        <v>105</v>
      </c>
      <c r="E20" s="10" t="s">
        <v>106</v>
      </c>
      <c r="F20" s="10" t="s">
        <v>107</v>
      </c>
      <c r="G20" s="10" t="s">
        <v>108</v>
      </c>
      <c r="H20" s="10" t="s">
        <v>109</v>
      </c>
      <c r="I20" s="11">
        <v>5</v>
      </c>
      <c r="J20" s="60"/>
      <c r="K20" s="11">
        <v>1</v>
      </c>
    </row>
    <row r="21" spans="1:11" ht="90" x14ac:dyDescent="0.25">
      <c r="A21" s="48"/>
      <c r="B21" s="49"/>
      <c r="C21" s="8" t="s">
        <v>110</v>
      </c>
      <c r="D21" s="9" t="s">
        <v>111</v>
      </c>
      <c r="E21" s="9" t="s">
        <v>112</v>
      </c>
      <c r="F21" s="9" t="s">
        <v>113</v>
      </c>
      <c r="G21" s="9" t="s">
        <v>114</v>
      </c>
      <c r="H21" s="10" t="s">
        <v>115</v>
      </c>
      <c r="I21" s="11">
        <v>5</v>
      </c>
      <c r="J21" s="60"/>
      <c r="K21" s="11">
        <v>4</v>
      </c>
    </row>
    <row r="22" spans="1:11" ht="90" x14ac:dyDescent="0.25">
      <c r="A22" s="61">
        <v>5</v>
      </c>
      <c r="B22" s="62" t="s">
        <v>116</v>
      </c>
      <c r="C22" s="8" t="s">
        <v>117</v>
      </c>
      <c r="D22" s="9" t="s">
        <v>118</v>
      </c>
      <c r="E22" s="9" t="s">
        <v>119</v>
      </c>
      <c r="F22" s="9" t="s">
        <v>120</v>
      </c>
      <c r="G22" s="9" t="s">
        <v>121</v>
      </c>
      <c r="H22" s="9" t="s">
        <v>122</v>
      </c>
      <c r="I22" s="13">
        <v>5</v>
      </c>
      <c r="J22" s="60">
        <v>25</v>
      </c>
      <c r="K22" s="11">
        <v>5</v>
      </c>
    </row>
    <row r="23" spans="1:11" ht="117" customHeight="1" x14ac:dyDescent="0.25">
      <c r="A23" s="61"/>
      <c r="B23" s="62"/>
      <c r="C23" s="8" t="s">
        <v>123</v>
      </c>
      <c r="D23" s="9" t="s">
        <v>124</v>
      </c>
      <c r="E23" s="9" t="s">
        <v>125</v>
      </c>
      <c r="F23" s="12" t="s">
        <v>126</v>
      </c>
      <c r="G23" s="12" t="s">
        <v>127</v>
      </c>
      <c r="H23" s="12" t="s">
        <v>128</v>
      </c>
      <c r="I23" s="13">
        <v>5</v>
      </c>
      <c r="J23" s="60"/>
      <c r="K23" s="11">
        <v>2</v>
      </c>
    </row>
    <row r="24" spans="1:11" ht="120" customHeight="1" x14ac:dyDescent="0.25">
      <c r="A24" s="61"/>
      <c r="B24" s="62"/>
      <c r="C24" s="8" t="s">
        <v>129</v>
      </c>
      <c r="D24" s="9" t="s">
        <v>130</v>
      </c>
      <c r="E24" s="9" t="s">
        <v>131</v>
      </c>
      <c r="F24" s="9" t="s">
        <v>132</v>
      </c>
      <c r="G24" s="12" t="s">
        <v>133</v>
      </c>
      <c r="H24" s="12" t="s">
        <v>134</v>
      </c>
      <c r="I24" s="13">
        <v>5</v>
      </c>
      <c r="J24" s="60"/>
      <c r="K24" s="11">
        <v>3</v>
      </c>
    </row>
    <row r="25" spans="1:11" ht="90" x14ac:dyDescent="0.25">
      <c r="A25" s="61"/>
      <c r="B25" s="62"/>
      <c r="C25" s="15" t="s">
        <v>135</v>
      </c>
      <c r="D25" s="9" t="s">
        <v>136</v>
      </c>
      <c r="E25" s="9" t="s">
        <v>137</v>
      </c>
      <c r="F25" s="12" t="s">
        <v>138</v>
      </c>
      <c r="G25" s="12" t="s">
        <v>139</v>
      </c>
      <c r="H25" s="12" t="s">
        <v>140</v>
      </c>
      <c r="I25" s="13">
        <v>5</v>
      </c>
      <c r="J25" s="60"/>
      <c r="K25" s="11">
        <v>2</v>
      </c>
    </row>
    <row r="26" spans="1:11" ht="75" x14ac:dyDescent="0.25">
      <c r="A26" s="61"/>
      <c r="B26" s="62"/>
      <c r="C26" s="15" t="s">
        <v>141</v>
      </c>
      <c r="D26" s="9" t="s">
        <v>136</v>
      </c>
      <c r="E26" s="9" t="s">
        <v>142</v>
      </c>
      <c r="F26" s="9" t="s">
        <v>143</v>
      </c>
      <c r="G26" s="9" t="s">
        <v>144</v>
      </c>
      <c r="H26" s="9" t="s">
        <v>145</v>
      </c>
      <c r="I26" s="13">
        <v>5</v>
      </c>
      <c r="J26" s="60"/>
      <c r="K26" s="11">
        <v>5</v>
      </c>
    </row>
    <row r="27" spans="1:11" ht="105" x14ac:dyDescent="0.25">
      <c r="A27" s="16">
        <v>6</v>
      </c>
      <c r="B27" s="17" t="s">
        <v>146</v>
      </c>
      <c r="C27" s="8" t="s">
        <v>147</v>
      </c>
      <c r="D27" s="9" t="s">
        <v>148</v>
      </c>
      <c r="E27" s="9" t="s">
        <v>149</v>
      </c>
      <c r="F27" s="35" t="s">
        <v>150</v>
      </c>
      <c r="G27" s="36" t="s">
        <v>151</v>
      </c>
      <c r="H27" s="12" t="s">
        <v>152</v>
      </c>
      <c r="I27" s="13">
        <v>5</v>
      </c>
      <c r="J27" s="18">
        <v>5</v>
      </c>
      <c r="K27" s="11">
        <v>4</v>
      </c>
    </row>
    <row r="28" spans="1:11" ht="90.75" customHeight="1" x14ac:dyDescent="0.25">
      <c r="A28" s="48">
        <v>7</v>
      </c>
      <c r="B28" s="49" t="s">
        <v>153</v>
      </c>
      <c r="C28" s="8" t="s">
        <v>154</v>
      </c>
      <c r="D28" s="9" t="s">
        <v>155</v>
      </c>
      <c r="E28" s="9" t="s">
        <v>156</v>
      </c>
      <c r="F28" s="9" t="s">
        <v>157</v>
      </c>
      <c r="G28" s="12" t="s">
        <v>158</v>
      </c>
      <c r="H28" s="12" t="s">
        <v>159</v>
      </c>
      <c r="I28" s="11">
        <v>5</v>
      </c>
      <c r="J28" s="50">
        <v>20</v>
      </c>
      <c r="K28" s="11">
        <v>3</v>
      </c>
    </row>
    <row r="29" spans="1:11" ht="104.25" customHeight="1" x14ac:dyDescent="0.25">
      <c r="A29" s="48"/>
      <c r="B29" s="49"/>
      <c r="C29" s="8" t="s">
        <v>160</v>
      </c>
      <c r="D29" s="9" t="s">
        <v>161</v>
      </c>
      <c r="E29" s="9" t="s">
        <v>162</v>
      </c>
      <c r="F29" s="10" t="s">
        <v>163</v>
      </c>
      <c r="G29" s="10" t="s">
        <v>164</v>
      </c>
      <c r="H29" s="10" t="s">
        <v>165</v>
      </c>
      <c r="I29" s="11">
        <v>5</v>
      </c>
      <c r="J29" s="50"/>
      <c r="K29" s="11">
        <v>2</v>
      </c>
    </row>
    <row r="30" spans="1:11" ht="78" customHeight="1" x14ac:dyDescent="0.25">
      <c r="A30" s="48"/>
      <c r="B30" s="49"/>
      <c r="C30" s="8" t="s">
        <v>166</v>
      </c>
      <c r="D30" s="9" t="s">
        <v>167</v>
      </c>
      <c r="E30" s="9" t="s">
        <v>168</v>
      </c>
      <c r="F30" s="9" t="s">
        <v>169</v>
      </c>
      <c r="G30" s="10" t="s">
        <v>170</v>
      </c>
      <c r="H30" s="10" t="s">
        <v>171</v>
      </c>
      <c r="I30" s="11">
        <v>5</v>
      </c>
      <c r="J30" s="50"/>
      <c r="K30" s="11">
        <v>3</v>
      </c>
    </row>
    <row r="31" spans="1:11" ht="96.75" customHeight="1" x14ac:dyDescent="0.25">
      <c r="A31" s="48"/>
      <c r="B31" s="49"/>
      <c r="C31" s="8" t="s">
        <v>172</v>
      </c>
      <c r="D31" s="9" t="s">
        <v>173</v>
      </c>
      <c r="E31" s="9" t="s">
        <v>174</v>
      </c>
      <c r="F31" s="9" t="s">
        <v>175</v>
      </c>
      <c r="G31" s="10" t="s">
        <v>176</v>
      </c>
      <c r="H31" s="10" t="s">
        <v>177</v>
      </c>
      <c r="I31" s="11">
        <v>5</v>
      </c>
      <c r="J31" s="50"/>
      <c r="K31" s="11">
        <v>3</v>
      </c>
    </row>
    <row r="32" spans="1:11" ht="15.75" thickBot="1" x14ac:dyDescent="0.3">
      <c r="A32" s="19"/>
      <c r="B32" s="20"/>
      <c r="C32" s="21"/>
      <c r="D32" s="22"/>
      <c r="E32" s="22"/>
      <c r="F32" s="22"/>
      <c r="G32" s="22"/>
      <c r="H32" s="22"/>
      <c r="I32" s="23">
        <f>SUM(I6:I31)</f>
        <v>125</v>
      </c>
      <c r="J32" s="24">
        <f>SUM(J6:J31)</f>
        <v>125</v>
      </c>
      <c r="K32" s="25">
        <f>SUM(K6:K31)</f>
        <v>80</v>
      </c>
    </row>
    <row r="33" spans="1:14" ht="15.75" thickBot="1" x14ac:dyDescent="0.3">
      <c r="A33" s="51" t="s">
        <v>178</v>
      </c>
      <c r="B33" s="52"/>
      <c r="C33" s="52"/>
      <c r="D33" s="52"/>
      <c r="E33" s="52"/>
      <c r="F33" s="52"/>
      <c r="G33" s="52"/>
      <c r="H33" s="52"/>
      <c r="I33" s="52"/>
      <c r="J33" s="53"/>
      <c r="K33" s="26">
        <f>AVERAGE(K6:K31)</f>
        <v>3.2</v>
      </c>
    </row>
    <row r="34" spans="1:14" ht="33.75" thickBot="1" x14ac:dyDescent="0.5">
      <c r="A34" s="27" t="s">
        <v>179</v>
      </c>
      <c r="B34" s="28" t="s">
        <v>180</v>
      </c>
      <c r="C34" s="54" t="s">
        <v>181</v>
      </c>
      <c r="D34" s="55"/>
      <c r="E34" s="55"/>
      <c r="F34" s="55"/>
      <c r="G34" s="56"/>
      <c r="H34" s="57" t="s">
        <v>182</v>
      </c>
      <c r="I34" s="58"/>
      <c r="J34" s="59"/>
      <c r="M34" s="29" t="s">
        <v>183</v>
      </c>
      <c r="N34" s="29">
        <f>AVERAGE(K6:K31)</f>
        <v>3.2</v>
      </c>
    </row>
    <row r="35" spans="1:14" ht="64.5" customHeight="1" x14ac:dyDescent="0.25">
      <c r="A35" s="27">
        <v>1</v>
      </c>
      <c r="B35" s="30" t="s">
        <v>184</v>
      </c>
      <c r="C35" s="39" t="s">
        <v>188</v>
      </c>
      <c r="D35" s="40"/>
      <c r="E35" s="40"/>
      <c r="F35" s="40"/>
      <c r="G35" s="41"/>
      <c r="H35" s="39"/>
      <c r="I35" s="40"/>
      <c r="J35" s="41"/>
    </row>
    <row r="36" spans="1:14" ht="84" customHeight="1" x14ac:dyDescent="0.25">
      <c r="A36" s="27">
        <v>2</v>
      </c>
      <c r="B36" s="30" t="s">
        <v>185</v>
      </c>
      <c r="C36" s="42"/>
      <c r="D36" s="43"/>
      <c r="E36" s="43"/>
      <c r="F36" s="43"/>
      <c r="G36" s="44"/>
      <c r="H36" s="42"/>
      <c r="I36" s="43"/>
      <c r="J36" s="44"/>
    </row>
    <row r="37" spans="1:14" ht="66" customHeight="1" x14ac:dyDescent="0.25">
      <c r="A37" s="27">
        <v>3</v>
      </c>
      <c r="B37" s="30" t="s">
        <v>186</v>
      </c>
      <c r="C37" s="45"/>
      <c r="D37" s="46"/>
      <c r="E37" s="46"/>
      <c r="F37" s="46"/>
      <c r="G37" s="47"/>
      <c r="H37" s="45"/>
      <c r="I37" s="46"/>
      <c r="J37" s="47"/>
    </row>
    <row r="38" spans="1:14" ht="53.25" customHeight="1" x14ac:dyDescent="0.25"/>
  </sheetData>
  <mergeCells count="39">
    <mergeCell ref="A1:B3"/>
    <mergeCell ref="C1:J1"/>
    <mergeCell ref="C2:D2"/>
    <mergeCell ref="E2:F2"/>
    <mergeCell ref="G2:G3"/>
    <mergeCell ref="H2:J2"/>
    <mergeCell ref="C3:D3"/>
    <mergeCell ref="E3:F3"/>
    <mergeCell ref="H3:J3"/>
    <mergeCell ref="A14:A17"/>
    <mergeCell ref="B14:B17"/>
    <mergeCell ref="J14:J17"/>
    <mergeCell ref="A4:A5"/>
    <mergeCell ref="B4:B5"/>
    <mergeCell ref="C4:C5"/>
    <mergeCell ref="D4:J4"/>
    <mergeCell ref="A6:A8"/>
    <mergeCell ref="B6:B8"/>
    <mergeCell ref="I6:I7"/>
    <mergeCell ref="J6:J8"/>
    <mergeCell ref="A9:A13"/>
    <mergeCell ref="B9:B13"/>
    <mergeCell ref="I9:I10"/>
    <mergeCell ref="J9:J13"/>
    <mergeCell ref="K9:K10"/>
    <mergeCell ref="A18:A21"/>
    <mergeCell ref="B18:B21"/>
    <mergeCell ref="J18:J21"/>
    <mergeCell ref="A22:A26"/>
    <mergeCell ref="B22:B26"/>
    <mergeCell ref="J22:J26"/>
    <mergeCell ref="C35:G37"/>
    <mergeCell ref="H35:J37"/>
    <mergeCell ref="A28:A31"/>
    <mergeCell ref="B28:B31"/>
    <mergeCell ref="J28:J31"/>
    <mergeCell ref="A33:J33"/>
    <mergeCell ref="C34:G34"/>
    <mergeCell ref="H34:J34"/>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2026-03-06T06:08:37Z</dcterms:created>
  <dcterms:modified xsi:type="dcterms:W3CDTF">2026-03-06T10:26:15Z</dcterms:modified>
</cp:coreProperties>
</file>