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18" documentId="8_{153ACC08-6764-4E43-BAA7-0046757766D7}" xr6:coauthVersionLast="47" xr6:coauthVersionMax="47" xr10:uidLastSave="{CAA65650-135D-45AE-910E-4CDE05E792AE}"/>
  <bookViews>
    <workbookView xWindow="-108" yWindow="-108" windowWidth="23256" windowHeight="12456" activeTab="2" xr2:uid="{00000000-000D-0000-FFFF-FFFF00000000}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3" l="1"/>
  <c r="K32" i="3"/>
  <c r="J32" i="3"/>
  <c r="I32" i="3"/>
  <c r="I3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<sst xmlns="http://schemas.openxmlformats.org/spreadsheetml/2006/main" count="464" uniqueCount="365">
  <si>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</si>
  <si>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</si>
  <si>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</si>
  <si>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</si>
  <si>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</si>
  <si>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</si>
  <si>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</si>
  <si>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</si>
  <si>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</si>
  <si>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</si>
  <si>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</si>
  <si>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</si>
  <si>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</si>
  <si>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</si>
  <si>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</si>
  <si>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</si>
  <si>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</si>
  <si>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</si>
  <si>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</si>
  <si>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</si>
  <si>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</si>
  <si>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</si>
  <si>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</si>
  <si>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</si>
  <si>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</si>
  <si>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</si>
  <si>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</si>
  <si>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</si>
  <si>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</si>
  <si>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</si>
  <si>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</si>
  <si>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</si>
  <si>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</si>
  <si>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</si>
  <si>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</si>
  <si>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</si>
  <si>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</si>
  <si>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</si>
  <si>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</si>
  <si>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</si>
  <si>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</si>
  <si>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</si>
  <si>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</si>
  <si>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</si>
  <si>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</si>
  <si>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</si>
  <si>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</si>
  <si>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</si>
  <si>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</si>
  <si>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</si>
  <si>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</si>
  <si>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</si>
  <si>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</si>
  <si>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</si>
  <si>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</si>
  <si>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</si>
  <si>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</si>
  <si>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</si>
  <si>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</si>
  <si>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</si>
  <si>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</si>
  <si>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</si>
  <si>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</si>
  <si>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</si>
  <si>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</si>
  <si>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</si>
  <si>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</si>
  <si>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</si>
  <si>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</si>
  <si>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</si>
  <si>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</si>
  <si>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</si>
  <si>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</si>
  <si>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</si>
  <si>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</si>
  <si>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</si>
  <si>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</si>
  <si>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</si>
  <si>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</si>
  <si>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</si>
  <si>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</si>
  <si>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</si>
  <si>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</si>
  <si>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</si>
  <si>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</si>
  <si>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</si>
  <si>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</si>
  <si>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</si>
  <si>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</si>
  <si>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</si>
  <si>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</si>
  <si>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</si>
  <si>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</si>
  <si>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</si>
  <si>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</si>
  <si>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</si>
  <si>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</si>
  <si>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</si>
  <si>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</si>
  <si>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</si>
  <si>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</si>
  <si>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</si>
  <si>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</si>
  <si>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</si>
  <si>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</si>
  <si>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</si>
  <si>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</si>
  <si>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</si>
  <si>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</si>
  <si>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</si>
  <si>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</si>
  <si>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</si>
  <si>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</si>
  <si>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</si>
  <si>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</si>
  <si>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</si>
  <si>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</si>
  <si>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</si>
  <si>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</si>
  <si>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</si>
  <si>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</si>
  <si>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</si>
  <si>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</si>
  <si>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</si>
  <si>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</si>
  <si>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</si>
  <si>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</si>
  <si>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</si>
  <si>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</si>
  <si>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</si>
  <si>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</si>
  <si>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</si>
  <si>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</si>
  <si>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</si>
  <si>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</si>
  <si>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</si>
  <si>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</si>
  <si>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</si>
  <si>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</si>
  <si>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</si>
  <si>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</si>
  <si>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</si>
  <si>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</si>
  <si>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</si>
  <si>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</si>
  <si>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</si>
  <si>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</si>
  <si>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</si>
  <si>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</si>
  <si>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</si>
  <si>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</si>
  <si>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</si>
  <si>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</si>
  <si>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</si>
  <si>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</si>
  <si>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</si>
  <si>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</si>
  <si>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</si>
  <si>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</si>
  <si>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</si>
  <si>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</si>
  <si>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</si>
  <si>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</si>
  <si>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</si>
  <si>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</si>
  <si>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</si>
  <si>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</si>
  <si>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</si>
  <si>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</si>
  <si>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</si>
  <si>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</si>
  <si>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</si>
  <si>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</si>
  <si>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</si>
  <si>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</si>
  <si>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</si>
  <si>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</si>
  <si>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</si>
  <si>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</si>
  <si>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</si>
  <si>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</si>
  <si>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</si>
  <si>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</si>
  <si>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</si>
  <si>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</si>
  <si>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</si>
  <si>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</si>
  <si>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</si>
  <si>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</si>
  <si>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</si>
  <si>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</si>
  <si>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</si>
  <si>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</si>
  <si>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</si>
  <si>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</si>
  <si>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</si>
  <si>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</si>
  <si>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</si>
  <si>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</si>
  <si>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</si>
  <si>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</si>
  <si>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</si>
  <si>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</si>
  <si>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</si>
  <si>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</si>
  <si>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</si>
  <si>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</si>
  <si>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</si>
  <si>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</si>
  <si>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</si>
  <si>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</si>
  <si>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</si>
  <si>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</si>
  <si>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</si>
  <si>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</si>
  <si>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</si>
  <si>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</si>
  <si>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</si>
  <si>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</si>
  <si>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</si>
  <si>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</si>
  <si>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</si>
  <si>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</si>
  <si>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</si>
  <si>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</si>
  <si>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</si>
  <si>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</si>
  <si>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</si>
  <si>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</si>
  <si>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</si>
  <si>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</si>
  <si>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</si>
  <si>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</si>
  <si>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</si>
  <si>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</si>
  <si>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</si>
  <si>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</si>
  <si>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</si>
  <si>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</si>
  <si>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</si>
  <si>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</si>
  <si>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</si>
  <si>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</si>
  <si>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</si>
  <si>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</si>
  <si>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</si>
  <si>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</si>
  <si>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</si>
  <si>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</si>
  <si>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</si>
  <si>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</si>
  <si>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</si>
  <si>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</si>
  <si>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</si>
  <si>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</si>
  <si>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</si>
  <si>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</si>
  <si>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</si>
  <si>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</si>
  <si>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</si>
  <si>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</si>
  <si>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</si>
  <si>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</si>
  <si>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</si>
  <si>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</si>
  <si>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</si>
  <si>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</si>
  <si>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</si>
  <si>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</si>
  <si>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</si>
  <si>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</si>
  <si>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</si>
  <si>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</si>
  <si>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</si>
  <si>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</si>
  <si>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</si>
  <si>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</si>
  <si>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</si>
  <si>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</si>
  <si>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</si>
  <si>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</si>
  <si>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</si>
  <si>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</si>
  <si>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</si>
  <si>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</si>
  <si>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</si>
  <si>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</si>
  <si>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</si>
  <si>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</si>
  <si>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</si>
  <si>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</si>
  <si>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</si>
  <si>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</si>
  <si>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</si>
  <si>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</si>
  <si>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</si>
  <si>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</si>
  <si>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</si>
  <si>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</si>
  <si>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</si>
  <si>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</si>
  <si>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</si>
  <si>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</si>
  <si>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</si>
  <si>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</si>
  <si>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</si>
  <si>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</si>
  <si>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</si>
  <si>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</si>
  <si>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</si>
  <si>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</si>
  <si>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</si>
  <si>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</si>
  <si>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</si>
  <si>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</si>
  <si>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</si>
  <si>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</si>
  <si>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</si>
  <si>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</si>
  <si>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</si>
  <si>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</si>
  <si>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</si>
  <si>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</si>
  <si>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</si>
  <si>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</si>
  <si>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</si>
  <si>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</si>
  <si>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</si>
  <si>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</si>
  <si>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</si>
  <si>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</si>
  <si>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</si>
  <si>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</si>
  <si>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</si>
  <si>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</si>
  <si>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</si>
  <si>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</si>
  <si>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</si>
  <si>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</si>
  <si>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</si>
  <si>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</si>
  <si>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</si>
  <si>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</si>
  <si>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</si>
  <si>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</si>
  <si>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</si>
  <si>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</si>
  <si>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</si>
  <si>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</si>
  <si>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</si>
  <si>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</si>
  <si>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</si>
  <si>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</si>
  <si>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</si>
  <si>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</si>
  <si>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</si>
  <si>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</si>
  <si>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</si>
  <si>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</si>
  <si>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</si>
  <si>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330PM-530PM</t>
  </si>
  <si>
    <t>Department: SMS2</t>
  </si>
  <si>
    <t>NA</t>
  </si>
  <si>
    <t>1. ICS seen. MOUs seen. Most of the time it is between 70 to 85%.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     3. MOC seen. a) Hydraulic oscillator changed to electric oscillator (Billet caster). b) Reduction of Ultrasonic Test failure in plate orders.                                                  4. QC-3 nos, BB/GB projects - 6 nos taken.</t>
  </si>
  <si>
    <t>1. Skill Matrix seen.                                                                                                                    2. KPIs seen.                                                                                             3. Risk assessment seen.                                                                  4. Audit reports seen.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</si>
</sst>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4" fillId="0" borderId="43" xfId="0" applyFont="1" applyBorder="1" applyAlignment="1">
      <alignment horizontal="left" wrapText="1"/>
    </xf>
    <xf numFmtId="0" fontId="4" fillId="0" borderId="4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5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0" xfId="0" applyFont="1"/>
    <xf numFmtId="2" fontId="1" fillId="6" borderId="0" xfId="0" applyNumberFormat="1" applyFont="1" applyFill="1"/>
    <xf numFmtId="15" fontId="0" fillId="0" borderId="0" xfId="0" applyNumberFormat="1"/>
    <xf numFmtId="0" fontId="0" fillId="0" borderId="68" xfId="0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64" xfId="0" applyBorder="1" applyAlignment="1">
      <alignment horizontal="left" vertical="top" wrapText="1"/>
    </xf>
    <xf numFmtId="0" fontId="0" fillId="0" borderId="6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1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microsoft.com/office/2017/10/relationships/person" Target="persons/perso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view="pageBreakPreview" zoomScale="80" zoomScaleNormal="100" zoomScaleSheetLayoutView="80" workbookViewId="0">
      <selection activeCell="O5" sqref="O5"/>
    </sheetView>
  </sheetViews>
  <sheetFormatPr defaultRowHeight="14.4" x14ac:dyDescent="0.3"/>
  <cols>
    <col min="1" max="1" width="4.88671875" customWidth="1"/>
    <col min="2" max="2" width="17.5546875" customWidth="1"/>
    <col min="3" max="3" width="25.88671875" customWidth="1"/>
    <col min="4" max="4" width="17.6640625" customWidth="1"/>
    <col min="5" max="5" width="25.33203125" customWidth="1"/>
    <col min="6" max="6" width="22.5546875" customWidth="1"/>
    <col min="7" max="7" width="24" customWidth="1"/>
    <col min="8" max="8" width="27.109375" customWidth="1"/>
    <col min="9" max="9" width="8.109375" customWidth="1"/>
    <col min="10" max="13" width="6.44140625" customWidth="1"/>
  </cols>
  <sheetData>
    <row r="1" spans="1:13" ht="39" customHeight="1" thickBot="1" x14ac:dyDescent="0.35">
      <c r="A1" s="150"/>
      <c r="B1" s="151"/>
      <c r="C1" s="152" t="s">
        <v>245</v>
      </c>
      <c r="D1" s="153"/>
      <c r="E1" s="153"/>
      <c r="F1" s="153"/>
      <c r="G1" s="153"/>
      <c r="H1" s="153"/>
      <c r="I1" s="153"/>
      <c r="J1" s="153"/>
      <c r="K1" s="153"/>
      <c r="L1" s="153"/>
      <c r="M1" s="154"/>
    </row>
    <row r="2" spans="1:13" ht="29.25" customHeight="1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55" t="s">
        <v>9</v>
      </c>
      <c r="K2" s="156"/>
      <c r="L2" s="156"/>
      <c r="M2" s="157"/>
    </row>
    <row r="3" spans="1:13" ht="37.5" customHeight="1" x14ac:dyDescent="0.3">
      <c r="A3" s="158">
        <v>1</v>
      </c>
      <c r="B3" s="161" t="s">
        <v>10</v>
      </c>
      <c r="C3" s="164" t="s">
        <v>11</v>
      </c>
      <c r="D3" s="167" t="s">
        <v>12</v>
      </c>
      <c r="E3" s="167" t="s">
        <v>13</v>
      </c>
      <c r="F3" s="167" t="s">
        <v>14</v>
      </c>
      <c r="G3" s="167" t="s">
        <v>15</v>
      </c>
      <c r="H3" s="170" t="s">
        <v>16</v>
      </c>
      <c r="I3" s="134"/>
      <c r="J3" s="136"/>
      <c r="K3" s="137"/>
      <c r="L3" s="137"/>
      <c r="M3" s="138"/>
    </row>
    <row r="4" spans="1:13" x14ac:dyDescent="0.3">
      <c r="A4" s="159"/>
      <c r="B4" s="162"/>
      <c r="C4" s="165"/>
      <c r="D4" s="168"/>
      <c r="E4" s="168"/>
      <c r="F4" s="168"/>
      <c r="G4" s="168"/>
      <c r="H4" s="171"/>
      <c r="I4" s="134"/>
      <c r="J4" s="139"/>
      <c r="K4" s="90"/>
      <c r="L4" s="90"/>
      <c r="M4" s="140"/>
    </row>
    <row r="5" spans="1:13" ht="15" thickBot="1" x14ac:dyDescent="0.35">
      <c r="A5" s="160"/>
      <c r="B5" s="163"/>
      <c r="C5" s="166"/>
      <c r="D5" s="169"/>
      <c r="E5" s="169"/>
      <c r="F5" s="169"/>
      <c r="G5" s="169"/>
      <c r="H5" s="172"/>
      <c r="I5" s="135"/>
      <c r="J5" s="173"/>
      <c r="K5" s="91"/>
      <c r="L5" s="91"/>
      <c r="M5" s="174"/>
    </row>
    <row r="6" spans="1:13" x14ac:dyDescent="0.3">
      <c r="A6" s="141">
        <v>2</v>
      </c>
      <c r="B6" s="144" t="s">
        <v>17</v>
      </c>
      <c r="C6" s="147" t="s">
        <v>18</v>
      </c>
      <c r="D6" s="124" t="s">
        <v>19</v>
      </c>
      <c r="E6" s="124" t="s">
        <v>20</v>
      </c>
      <c r="F6" s="124" t="s">
        <v>21</v>
      </c>
      <c r="G6" s="127" t="s">
        <v>22</v>
      </c>
      <c r="H6" s="130" t="s">
        <v>23</v>
      </c>
      <c r="I6" s="133"/>
      <c r="J6" s="136"/>
      <c r="K6" s="137"/>
      <c r="L6" s="137"/>
      <c r="M6" s="138"/>
    </row>
    <row r="7" spans="1:13" ht="25.5" customHeight="1" x14ac:dyDescent="0.3">
      <c r="A7" s="142"/>
      <c r="B7" s="145"/>
      <c r="C7" s="148"/>
      <c r="D7" s="125"/>
      <c r="E7" s="125"/>
      <c r="F7" s="125"/>
      <c r="G7" s="128"/>
      <c r="H7" s="131"/>
      <c r="I7" s="134"/>
      <c r="J7" s="139"/>
      <c r="K7" s="90"/>
      <c r="L7" s="90"/>
      <c r="M7" s="140"/>
    </row>
    <row r="8" spans="1:13" ht="25.5" customHeight="1" x14ac:dyDescent="0.3">
      <c r="A8" s="142"/>
      <c r="B8" s="145"/>
      <c r="C8" s="148"/>
      <c r="D8" s="125"/>
      <c r="E8" s="125"/>
      <c r="F8" s="125"/>
      <c r="G8" s="128"/>
      <c r="H8" s="131"/>
      <c r="I8" s="134"/>
      <c r="J8" s="139"/>
      <c r="K8" s="90"/>
      <c r="L8" s="90"/>
      <c r="M8" s="140"/>
    </row>
    <row r="9" spans="1:13" ht="23.25" customHeight="1" thickBot="1" x14ac:dyDescent="0.35">
      <c r="A9" s="143"/>
      <c r="B9" s="146"/>
      <c r="C9" s="149"/>
      <c r="D9" s="126"/>
      <c r="E9" s="126"/>
      <c r="F9" s="126"/>
      <c r="G9" s="129"/>
      <c r="H9" s="132"/>
      <c r="I9" s="135"/>
      <c r="J9" s="139"/>
      <c r="K9" s="90"/>
      <c r="L9" s="90"/>
      <c r="M9" s="140"/>
    </row>
    <row r="10" spans="1:13" ht="63" customHeight="1" thickBot="1" x14ac:dyDescent="0.35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5"/>
      <c r="K10" s="96"/>
      <c r="L10" s="96"/>
      <c r="M10" s="97"/>
    </row>
    <row r="11" spans="1:13" ht="84.75" customHeight="1" thickBot="1" x14ac:dyDescent="0.35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36"/>
      <c r="K11" s="137"/>
      <c r="L11" s="137"/>
      <c r="M11" s="138"/>
    </row>
    <row r="12" spans="1:13" ht="78" customHeight="1" thickBot="1" x14ac:dyDescent="0.35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5"/>
      <c r="K12" s="96"/>
      <c r="L12" s="96"/>
      <c r="M12" s="97"/>
    </row>
    <row r="13" spans="1:13" ht="79.8" thickBot="1" x14ac:dyDescent="0.35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5"/>
      <c r="K13" s="96"/>
      <c r="L13" s="96"/>
      <c r="M13" s="97"/>
    </row>
    <row r="14" spans="1:13" ht="66.599999999999994" thickBot="1" x14ac:dyDescent="0.35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5"/>
      <c r="K14" s="96"/>
      <c r="L14" s="96"/>
      <c r="M14" s="97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</cols>
  <sheetData>
    <row r="1" spans="1:9" ht="18" x14ac:dyDescent="0.3">
      <c r="A1" s="82" t="s">
        <v>59</v>
      </c>
      <c r="B1" s="84" t="s">
        <v>60</v>
      </c>
      <c r="C1" s="86" t="s">
        <v>2</v>
      </c>
      <c r="D1" s="190" t="s">
        <v>61</v>
      </c>
      <c r="E1" s="190"/>
      <c r="F1" s="190"/>
      <c r="G1" s="190"/>
      <c r="H1" s="190"/>
      <c r="I1" s="190"/>
    </row>
    <row r="2" spans="1:9" s="27" customFormat="1" ht="18" x14ac:dyDescent="0.35">
      <c r="A2" s="83"/>
      <c r="B2" s="85"/>
      <c r="C2" s="87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3">
      <c r="A3" s="191">
        <v>1</v>
      </c>
      <c r="B3" s="194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88">
        <v>5</v>
      </c>
    </row>
    <row r="4" spans="1:9" ht="36" customHeight="1" x14ac:dyDescent="0.3">
      <c r="A4" s="192"/>
      <c r="B4" s="184"/>
      <c r="C4" s="28" t="s">
        <v>74</v>
      </c>
      <c r="D4" s="29" t="s">
        <v>75</v>
      </c>
      <c r="E4" s="29" t="s">
        <v>76</v>
      </c>
      <c r="F4" s="29" t="s">
        <v>77</v>
      </c>
      <c r="G4" s="29" t="s">
        <v>78</v>
      </c>
      <c r="H4" s="30" t="s">
        <v>79</v>
      </c>
      <c r="I4" s="88"/>
    </row>
    <row r="5" spans="1:9" ht="71.25" customHeight="1" x14ac:dyDescent="0.3">
      <c r="A5" s="192"/>
      <c r="B5" s="184"/>
      <c r="C5" s="28" t="s">
        <v>80</v>
      </c>
      <c r="D5" s="29" t="s">
        <v>81</v>
      </c>
      <c r="E5" s="29" t="s">
        <v>226</v>
      </c>
      <c r="F5" s="29" t="s">
        <v>227</v>
      </c>
      <c r="G5" s="29" t="s">
        <v>82</v>
      </c>
      <c r="H5" s="30" t="s">
        <v>83</v>
      </c>
      <c r="I5" s="42">
        <v>5</v>
      </c>
    </row>
    <row r="6" spans="1:9" ht="71.25" customHeight="1" thickBot="1" x14ac:dyDescent="0.35">
      <c r="A6" s="193"/>
      <c r="B6" s="185"/>
      <c r="C6" s="28" t="s">
        <v>84</v>
      </c>
      <c r="D6" s="29" t="s">
        <v>81</v>
      </c>
      <c r="E6" s="29" t="s">
        <v>228</v>
      </c>
      <c r="F6" s="29" t="s">
        <v>229</v>
      </c>
      <c r="G6" s="29" t="s">
        <v>82</v>
      </c>
      <c r="H6" s="30" t="s">
        <v>83</v>
      </c>
      <c r="I6" s="43">
        <v>5</v>
      </c>
    </row>
    <row r="7" spans="1:9" ht="28.8" x14ac:dyDescent="0.3">
      <c r="A7" s="180">
        <v>2</v>
      </c>
      <c r="B7" s="183" t="s">
        <v>17</v>
      </c>
      <c r="C7" s="32" t="s">
        <v>85</v>
      </c>
      <c r="D7" s="33" t="s">
        <v>86</v>
      </c>
      <c r="E7" s="33" t="s">
        <v>87</v>
      </c>
      <c r="F7" s="33" t="s">
        <v>88</v>
      </c>
      <c r="G7" s="33" t="s">
        <v>89</v>
      </c>
      <c r="H7" s="34" t="s">
        <v>90</v>
      </c>
      <c r="I7" s="88">
        <v>5</v>
      </c>
    </row>
    <row r="8" spans="1:9" ht="57.6" x14ac:dyDescent="0.3">
      <c r="A8" s="181">
        <v>2</v>
      </c>
      <c r="B8" s="184"/>
      <c r="C8" s="35" t="s">
        <v>91</v>
      </c>
      <c r="D8" s="29" t="s">
        <v>92</v>
      </c>
      <c r="E8" s="29" t="s">
        <v>93</v>
      </c>
      <c r="F8" s="29" t="s">
        <v>94</v>
      </c>
      <c r="G8" s="29" t="s">
        <v>95</v>
      </c>
      <c r="H8" s="30" t="s">
        <v>96</v>
      </c>
      <c r="I8" s="88"/>
    </row>
    <row r="9" spans="1:9" ht="28.8" x14ac:dyDescent="0.3">
      <c r="A9" s="181"/>
      <c r="B9" s="184"/>
      <c r="C9" s="35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1">
        <v>5</v>
      </c>
    </row>
    <row r="10" spans="1:9" ht="43.2" x14ac:dyDescent="0.3">
      <c r="A10" s="181"/>
      <c r="B10" s="184"/>
      <c r="C10" s="58" t="s">
        <v>103</v>
      </c>
      <c r="D10" s="29" t="s">
        <v>104</v>
      </c>
      <c r="E10" s="29" t="s">
        <v>105</v>
      </c>
      <c r="F10" s="29" t="s">
        <v>106</v>
      </c>
      <c r="G10" s="29" t="s">
        <v>107</v>
      </c>
      <c r="H10" s="30" t="s">
        <v>108</v>
      </c>
      <c r="I10" s="31">
        <v>5</v>
      </c>
    </row>
    <row r="11" spans="1:9" ht="29.4" thickBot="1" x14ac:dyDescent="0.35">
      <c r="A11" s="182"/>
      <c r="B11" s="185"/>
      <c r="C11" s="36" t="s">
        <v>109</v>
      </c>
      <c r="D11" s="37" t="s">
        <v>110</v>
      </c>
      <c r="E11" s="37" t="s">
        <v>111</v>
      </c>
      <c r="F11" s="37" t="s">
        <v>112</v>
      </c>
      <c r="G11" s="37" t="s">
        <v>113</v>
      </c>
      <c r="H11" s="38" t="s">
        <v>114</v>
      </c>
      <c r="I11" s="31">
        <v>5</v>
      </c>
    </row>
    <row r="12" spans="1:9" ht="83.25" customHeight="1" x14ac:dyDescent="0.3">
      <c r="A12" s="186">
        <v>3</v>
      </c>
      <c r="B12" s="183" t="s">
        <v>24</v>
      </c>
      <c r="C12" s="39" t="s">
        <v>115</v>
      </c>
      <c r="D12" s="40" t="s">
        <v>116</v>
      </c>
      <c r="E12" s="40" t="s">
        <v>117</v>
      </c>
      <c r="F12" s="40" t="s">
        <v>118</v>
      </c>
      <c r="G12" s="40" t="s">
        <v>119</v>
      </c>
      <c r="H12" s="41" t="s">
        <v>120</v>
      </c>
      <c r="I12" s="175">
        <v>5</v>
      </c>
    </row>
    <row r="13" spans="1:9" ht="43.2" x14ac:dyDescent="0.3">
      <c r="A13" s="187"/>
      <c r="B13" s="184"/>
      <c r="C13" s="35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77"/>
    </row>
    <row r="14" spans="1:9" ht="63" customHeight="1" x14ac:dyDescent="0.3">
      <c r="A14" s="187"/>
      <c r="B14" s="184"/>
      <c r="C14" s="35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2">
        <v>5</v>
      </c>
    </row>
    <row r="15" spans="1:9" ht="86.4" x14ac:dyDescent="0.3">
      <c r="A15" s="187"/>
      <c r="B15" s="184"/>
      <c r="C15" s="35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3">
        <v>5</v>
      </c>
    </row>
    <row r="16" spans="1:9" ht="86.4" x14ac:dyDescent="0.3">
      <c r="A16" s="188"/>
      <c r="B16" s="189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1">
        <v>5</v>
      </c>
    </row>
    <row r="17" spans="1:9" ht="72" customHeight="1" x14ac:dyDescent="0.3">
      <c r="A17" s="110">
        <v>4</v>
      </c>
      <c r="B17" s="81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4" t="s">
        <v>145</v>
      </c>
      <c r="I17" s="31">
        <v>5</v>
      </c>
    </row>
    <row r="18" spans="1:9" ht="43.2" x14ac:dyDescent="0.3">
      <c r="A18" s="110"/>
      <c r="B18" s="81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1">
        <v>5</v>
      </c>
    </row>
    <row r="19" spans="1:9" ht="57.6" x14ac:dyDescent="0.3">
      <c r="A19" s="110"/>
      <c r="B19" s="81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1">
        <v>5</v>
      </c>
    </row>
    <row r="20" spans="1:9" ht="79.2" x14ac:dyDescent="0.3">
      <c r="A20" s="110"/>
      <c r="B20" s="81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1">
        <v>5</v>
      </c>
    </row>
    <row r="21" spans="1:9" ht="86.4" x14ac:dyDescent="0.3">
      <c r="A21" s="111">
        <v>5</v>
      </c>
      <c r="B21" s="81" t="s">
        <v>164</v>
      </c>
      <c r="C21" s="28" t="s">
        <v>165</v>
      </c>
      <c r="D21" s="29" t="s">
        <v>166</v>
      </c>
      <c r="E21" s="29" t="s">
        <v>167</v>
      </c>
      <c r="F21" s="29" t="s">
        <v>168</v>
      </c>
      <c r="G21" s="29" t="s">
        <v>169</v>
      </c>
      <c r="H21" s="30" t="s">
        <v>170</v>
      </c>
      <c r="I21" s="31">
        <v>5</v>
      </c>
    </row>
    <row r="22" spans="1:9" ht="86.4" x14ac:dyDescent="0.3">
      <c r="A22" s="111"/>
      <c r="B22" s="81"/>
      <c r="C22" s="28" t="s">
        <v>171</v>
      </c>
      <c r="D22" s="29" t="s">
        <v>172</v>
      </c>
      <c r="E22" s="29" t="s">
        <v>173</v>
      </c>
      <c r="F22" s="29" t="s">
        <v>174</v>
      </c>
      <c r="G22" s="29" t="s">
        <v>175</v>
      </c>
      <c r="H22" s="30" t="s">
        <v>176</v>
      </c>
      <c r="I22" s="31">
        <v>5</v>
      </c>
    </row>
    <row r="23" spans="1:9" ht="56.25" customHeight="1" x14ac:dyDescent="0.3">
      <c r="A23" s="111"/>
      <c r="B23" s="81"/>
      <c r="C23" s="28" t="s">
        <v>177</v>
      </c>
      <c r="D23" s="29" t="s">
        <v>178</v>
      </c>
      <c r="E23" s="29" t="s">
        <v>179</v>
      </c>
      <c r="F23" s="29" t="s">
        <v>180</v>
      </c>
      <c r="G23" s="29" t="s">
        <v>181</v>
      </c>
      <c r="H23" s="30" t="s">
        <v>182</v>
      </c>
      <c r="I23" s="31">
        <v>5</v>
      </c>
    </row>
    <row r="24" spans="1:9" ht="86.4" x14ac:dyDescent="0.3">
      <c r="A24" s="111"/>
      <c r="B24" s="81"/>
      <c r="C24" s="45" t="s">
        <v>183</v>
      </c>
      <c r="D24" s="46" t="s">
        <v>184</v>
      </c>
      <c r="E24" s="46" t="s">
        <v>185</v>
      </c>
      <c r="F24" s="46" t="s">
        <v>186</v>
      </c>
      <c r="G24" s="47" t="s">
        <v>187</v>
      </c>
      <c r="H24" s="48" t="s">
        <v>188</v>
      </c>
      <c r="I24" s="31">
        <v>5</v>
      </c>
    </row>
    <row r="25" spans="1:9" ht="86.4" x14ac:dyDescent="0.3">
      <c r="A25" s="111"/>
      <c r="B25" s="81"/>
      <c r="C25" s="49" t="s">
        <v>189</v>
      </c>
      <c r="D25" s="29" t="s">
        <v>184</v>
      </c>
      <c r="E25" s="29" t="s">
        <v>190</v>
      </c>
      <c r="F25" s="29" t="s">
        <v>191</v>
      </c>
      <c r="G25" s="29" t="s">
        <v>192</v>
      </c>
      <c r="H25" s="30" t="s">
        <v>188</v>
      </c>
      <c r="I25" s="31">
        <v>5</v>
      </c>
    </row>
    <row r="26" spans="1:9" ht="66.75" customHeight="1" x14ac:dyDescent="0.3">
      <c r="A26" s="110">
        <v>6</v>
      </c>
      <c r="B26" s="81" t="s">
        <v>246</v>
      </c>
      <c r="C26" s="50" t="s">
        <v>193</v>
      </c>
      <c r="D26" s="46" t="s">
        <v>194</v>
      </c>
      <c r="E26" s="40" t="s">
        <v>195</v>
      </c>
      <c r="F26" s="40" t="s">
        <v>196</v>
      </c>
      <c r="G26" s="40" t="s">
        <v>197</v>
      </c>
      <c r="H26" s="41" t="s">
        <v>198</v>
      </c>
      <c r="I26" s="175">
        <v>5</v>
      </c>
    </row>
    <row r="27" spans="1:9" ht="57.6" x14ac:dyDescent="0.3">
      <c r="A27" s="110"/>
      <c r="B27" s="81"/>
      <c r="C27" s="28" t="s">
        <v>199</v>
      </c>
      <c r="D27" s="29" t="s">
        <v>200</v>
      </c>
      <c r="E27" s="40" t="s">
        <v>201</v>
      </c>
      <c r="F27" s="40" t="s">
        <v>202</v>
      </c>
      <c r="G27" s="40" t="s">
        <v>203</v>
      </c>
      <c r="H27" s="41" t="s">
        <v>204</v>
      </c>
      <c r="I27" s="176"/>
    </row>
    <row r="28" spans="1:9" ht="43.2" x14ac:dyDescent="0.3">
      <c r="A28" s="110"/>
      <c r="B28" s="81"/>
      <c r="C28" s="28" t="s">
        <v>205</v>
      </c>
      <c r="D28" s="29" t="s">
        <v>206</v>
      </c>
      <c r="E28" s="29" t="s">
        <v>207</v>
      </c>
      <c r="F28" s="29" t="s">
        <v>208</v>
      </c>
      <c r="G28" s="29" t="s">
        <v>209</v>
      </c>
      <c r="H28" s="30" t="s">
        <v>210</v>
      </c>
      <c r="I28" s="176"/>
    </row>
    <row r="29" spans="1:9" ht="43.2" x14ac:dyDescent="0.3">
      <c r="A29" s="110"/>
      <c r="B29" s="81"/>
      <c r="C29" s="28" t="s">
        <v>211</v>
      </c>
      <c r="D29" s="29" t="s">
        <v>212</v>
      </c>
      <c r="E29" s="29" t="s">
        <v>213</v>
      </c>
      <c r="F29" s="29" t="s">
        <v>214</v>
      </c>
      <c r="G29" s="29" t="s">
        <v>215</v>
      </c>
      <c r="H29" s="30" t="s">
        <v>216</v>
      </c>
      <c r="I29" s="177"/>
    </row>
    <row r="30" spans="1:9" ht="72.75" customHeight="1" x14ac:dyDescent="0.3">
      <c r="A30" s="57"/>
      <c r="B30" s="56"/>
      <c r="C30" s="28"/>
      <c r="D30" s="29" t="s">
        <v>247</v>
      </c>
      <c r="E30" s="29" t="s">
        <v>248</v>
      </c>
      <c r="F30" s="29" t="s">
        <v>249</v>
      </c>
      <c r="G30" s="29" t="s">
        <v>250</v>
      </c>
      <c r="H30" s="29" t="s">
        <v>251</v>
      </c>
      <c r="I30" s="43"/>
    </row>
    <row r="31" spans="1:9" ht="90.75" customHeight="1" x14ac:dyDescent="0.3">
      <c r="A31" s="110">
        <v>7</v>
      </c>
      <c r="B31" s="81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1">
        <v>5</v>
      </c>
    </row>
    <row r="32" spans="1:9" ht="104.25" customHeight="1" x14ac:dyDescent="0.3">
      <c r="A32" s="110"/>
      <c r="B32" s="81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1">
        <v>5</v>
      </c>
    </row>
    <row r="33" spans="1:9" ht="57.6" x14ac:dyDescent="0.3">
      <c r="A33" s="110"/>
      <c r="B33" s="81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1">
        <v>5</v>
      </c>
    </row>
    <row r="34" spans="1:9" ht="96.75" customHeight="1" thickBot="1" x14ac:dyDescent="0.35">
      <c r="A34" s="178"/>
      <c r="B34" s="179"/>
      <c r="C34" s="51" t="s">
        <v>220</v>
      </c>
      <c r="D34" s="37" t="s">
        <v>221</v>
      </c>
      <c r="E34" s="37" t="s">
        <v>222</v>
      </c>
      <c r="F34" s="37" t="s">
        <v>223</v>
      </c>
      <c r="G34" s="37" t="s">
        <v>224</v>
      </c>
      <c r="H34" s="38" t="s">
        <v>225</v>
      </c>
      <c r="I34" s="31">
        <v>5</v>
      </c>
    </row>
    <row r="35" spans="1:9" x14ac:dyDescent="0.3">
      <c r="I35" s="31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52" bestFit="1" customWidth="1"/>
    <col min="2" max="2" width="18.109375" style="53" customWidth="1"/>
    <col min="3" max="3" width="23.88671875" customWidth="1"/>
    <col min="4" max="8" width="27.88671875" style="54" customWidth="1"/>
    <col min="9" max="9" width="11.5546875" style="55" customWidth="1"/>
    <col min="10" max="10" width="9.109375" style="55"/>
    <col min="11" max="11" width="14.33203125" bestFit="1" customWidth="1"/>
  </cols>
  <sheetData>
    <row r="1" spans="1:11" ht="31.5" customHeight="1" thickBot="1" x14ac:dyDescent="0.35">
      <c r="A1" s="90"/>
      <c r="B1" s="90"/>
      <c r="C1" s="116" t="s">
        <v>299</v>
      </c>
      <c r="D1" s="117"/>
      <c r="E1" s="117"/>
      <c r="F1" s="117"/>
      <c r="G1" s="117"/>
      <c r="H1" s="117"/>
      <c r="I1" s="117"/>
      <c r="J1" s="118"/>
      <c r="K1" s="75">
        <v>46199</v>
      </c>
    </row>
    <row r="2" spans="1:11" ht="15" thickBot="1" x14ac:dyDescent="0.35">
      <c r="A2" s="90"/>
      <c r="B2" s="90"/>
      <c r="C2" s="113" t="s">
        <v>361</v>
      </c>
      <c r="D2" s="114"/>
      <c r="E2" s="113" t="s">
        <v>300</v>
      </c>
      <c r="F2" s="114"/>
      <c r="G2" s="122" t="s">
        <v>301</v>
      </c>
      <c r="H2" s="113" t="s">
        <v>302</v>
      </c>
      <c r="I2" s="115"/>
      <c r="J2" s="114"/>
      <c r="K2" t="s">
        <v>360</v>
      </c>
    </row>
    <row r="3" spans="1:11" ht="15.75" customHeight="1" thickBot="1" x14ac:dyDescent="0.35">
      <c r="A3" s="91"/>
      <c r="B3" s="91"/>
      <c r="C3" s="115" t="s">
        <v>303</v>
      </c>
      <c r="D3" s="115"/>
      <c r="E3" s="113" t="s">
        <v>304</v>
      </c>
      <c r="F3" s="114"/>
      <c r="G3" s="123"/>
      <c r="H3" s="119" t="s">
        <v>305</v>
      </c>
      <c r="I3" s="120"/>
      <c r="J3" s="121"/>
    </row>
    <row r="4" spans="1:11" ht="18" x14ac:dyDescent="0.3">
      <c r="A4" s="82" t="s">
        <v>59</v>
      </c>
      <c r="B4" s="84" t="s">
        <v>60</v>
      </c>
      <c r="C4" s="86" t="s">
        <v>2</v>
      </c>
      <c r="D4" s="77" t="s">
        <v>61</v>
      </c>
      <c r="E4" s="77"/>
      <c r="F4" s="77"/>
      <c r="G4" s="77"/>
      <c r="H4" s="77"/>
      <c r="I4" s="77"/>
      <c r="J4" s="78"/>
    </row>
    <row r="5" spans="1:11" s="27" customFormat="1" ht="18" x14ac:dyDescent="0.35">
      <c r="A5" s="83"/>
      <c r="B5" s="85"/>
      <c r="C5" s="87"/>
      <c r="D5" s="60" t="s">
        <v>62</v>
      </c>
      <c r="E5" s="60" t="s">
        <v>63</v>
      </c>
      <c r="F5" s="60" t="s">
        <v>64</v>
      </c>
      <c r="G5" s="60" t="s">
        <v>65</v>
      </c>
      <c r="H5" s="60" t="s">
        <v>66</v>
      </c>
      <c r="I5" s="26" t="s">
        <v>67</v>
      </c>
      <c r="J5" s="65" t="s">
        <v>67</v>
      </c>
    </row>
    <row r="6" spans="1:11" ht="96.75" customHeight="1" x14ac:dyDescent="0.3">
      <c r="A6" s="89">
        <v>1</v>
      </c>
      <c r="B6" s="79" t="s">
        <v>10</v>
      </c>
      <c r="C6" s="28" t="s">
        <v>68</v>
      </c>
      <c r="D6" s="29" t="s">
        <v>285</v>
      </c>
      <c r="E6" s="29" t="s">
        <v>286</v>
      </c>
      <c r="F6" s="29" t="s">
        <v>320</v>
      </c>
      <c r="G6" s="29" t="s">
        <v>321</v>
      </c>
      <c r="H6" s="29" t="s">
        <v>319</v>
      </c>
      <c r="I6" s="88">
        <v>10</v>
      </c>
      <c r="J6" s="80">
        <v>15</v>
      </c>
      <c r="K6" s="112">
        <v>4</v>
      </c>
    </row>
    <row r="7" spans="1:11" ht="94.5" customHeight="1" x14ac:dyDescent="0.3">
      <c r="A7" s="89"/>
      <c r="B7" s="79"/>
      <c r="C7" s="28" t="s">
        <v>74</v>
      </c>
      <c r="D7" s="29" t="s">
        <v>287</v>
      </c>
      <c r="E7" s="29" t="s">
        <v>271</v>
      </c>
      <c r="F7" s="29" t="s">
        <v>272</v>
      </c>
      <c r="G7" s="29" t="s">
        <v>273</v>
      </c>
      <c r="H7" s="29" t="s">
        <v>79</v>
      </c>
      <c r="I7" s="88"/>
      <c r="J7" s="80"/>
      <c r="K7" s="112"/>
    </row>
    <row r="8" spans="1:11" ht="94.5" customHeight="1" x14ac:dyDescent="0.3">
      <c r="A8" s="89"/>
      <c r="B8" s="79"/>
      <c r="C8" s="28" t="s">
        <v>277</v>
      </c>
      <c r="D8" s="29" t="s">
        <v>247</v>
      </c>
      <c r="E8" s="29" t="s">
        <v>248</v>
      </c>
      <c r="F8" s="29" t="s">
        <v>249</v>
      </c>
      <c r="G8" s="29" t="s">
        <v>250</v>
      </c>
      <c r="H8" s="29" t="s">
        <v>251</v>
      </c>
      <c r="I8" s="31">
        <v>5</v>
      </c>
      <c r="J8" s="80"/>
      <c r="K8" s="55">
        <v>3</v>
      </c>
    </row>
    <row r="9" spans="1:11" ht="60" customHeight="1" x14ac:dyDescent="0.3">
      <c r="A9" s="89">
        <v>2</v>
      </c>
      <c r="B9" s="81" t="s">
        <v>17</v>
      </c>
      <c r="C9" s="28" t="s">
        <v>322</v>
      </c>
      <c r="D9" s="29" t="s">
        <v>323</v>
      </c>
      <c r="E9" s="29" t="s">
        <v>324</v>
      </c>
      <c r="F9" s="29" t="s">
        <v>325</v>
      </c>
      <c r="G9" s="29" t="s">
        <v>326</v>
      </c>
      <c r="H9" s="29" t="s">
        <v>327</v>
      </c>
      <c r="I9" s="88">
        <v>5</v>
      </c>
      <c r="J9" s="80">
        <v>20</v>
      </c>
      <c r="K9" s="112">
        <v>3.5</v>
      </c>
    </row>
    <row r="10" spans="1:11" ht="43.2" x14ac:dyDescent="0.3">
      <c r="A10" s="89">
        <v>2</v>
      </c>
      <c r="B10" s="81"/>
      <c r="C10" s="29" t="s">
        <v>288</v>
      </c>
      <c r="D10" s="29" t="s">
        <v>328</v>
      </c>
      <c r="E10" s="29" t="s">
        <v>329</v>
      </c>
      <c r="F10" s="29" t="s">
        <v>330</v>
      </c>
      <c r="G10" s="29" t="s">
        <v>331</v>
      </c>
      <c r="H10" s="29" t="s">
        <v>331</v>
      </c>
      <c r="I10" s="88"/>
      <c r="J10" s="80"/>
      <c r="K10" s="112"/>
    </row>
    <row r="11" spans="1:11" ht="48" customHeight="1" x14ac:dyDescent="0.3">
      <c r="A11" s="89"/>
      <c r="B11" s="81"/>
      <c r="C11" s="59" t="s">
        <v>332</v>
      </c>
      <c r="D11" s="29" t="s">
        <v>98</v>
      </c>
      <c r="E11" s="29" t="s">
        <v>99</v>
      </c>
      <c r="F11" s="29" t="s">
        <v>100</v>
      </c>
      <c r="G11" s="29" t="s">
        <v>101</v>
      </c>
      <c r="H11" s="29" t="s">
        <v>289</v>
      </c>
      <c r="I11" s="31">
        <v>5</v>
      </c>
      <c r="J11" s="80"/>
      <c r="K11" s="55">
        <v>3</v>
      </c>
    </row>
    <row r="12" spans="1:11" ht="83.25" customHeight="1" x14ac:dyDescent="0.3">
      <c r="A12" s="89"/>
      <c r="B12" s="81"/>
      <c r="C12" s="29" t="s">
        <v>260</v>
      </c>
      <c r="D12" s="29" t="s">
        <v>290</v>
      </c>
      <c r="E12" s="29" t="s">
        <v>105</v>
      </c>
      <c r="F12" s="29" t="s">
        <v>106</v>
      </c>
      <c r="G12" s="29" t="s">
        <v>107</v>
      </c>
      <c r="H12" s="29" t="s">
        <v>291</v>
      </c>
      <c r="I12" s="31">
        <v>5</v>
      </c>
      <c r="J12" s="80"/>
      <c r="K12" s="55">
        <v>3</v>
      </c>
    </row>
    <row r="13" spans="1:11" ht="28.8" x14ac:dyDescent="0.3">
      <c r="A13" s="89"/>
      <c r="B13" s="81"/>
      <c r="C13" s="59" t="s">
        <v>261</v>
      </c>
      <c r="D13" s="29" t="s">
        <v>110</v>
      </c>
      <c r="E13" s="29" t="s">
        <v>111</v>
      </c>
      <c r="F13" s="29" t="s">
        <v>112</v>
      </c>
      <c r="G13" s="29" t="s">
        <v>113</v>
      </c>
      <c r="H13" s="29" t="s">
        <v>114</v>
      </c>
      <c r="I13" s="31">
        <v>5</v>
      </c>
      <c r="J13" s="80"/>
      <c r="K13" s="55">
        <v>2.5</v>
      </c>
    </row>
    <row r="14" spans="1:11" ht="83.25" customHeight="1" x14ac:dyDescent="0.3">
      <c r="A14" s="110">
        <v>3</v>
      </c>
      <c r="B14" s="81" t="s">
        <v>24</v>
      </c>
      <c r="C14" s="59" t="s">
        <v>115</v>
      </c>
      <c r="D14" s="29" t="s">
        <v>116</v>
      </c>
      <c r="E14" s="29" t="s">
        <v>292</v>
      </c>
      <c r="F14" s="29" t="s">
        <v>118</v>
      </c>
      <c r="G14" s="29" t="s">
        <v>119</v>
      </c>
      <c r="H14" s="29" t="s">
        <v>120</v>
      </c>
      <c r="I14" s="31">
        <v>5</v>
      </c>
      <c r="J14" s="80">
        <v>20</v>
      </c>
      <c r="K14" s="55">
        <v>3</v>
      </c>
    </row>
    <row r="15" spans="1:11" ht="62.25" customHeight="1" x14ac:dyDescent="0.3">
      <c r="A15" s="110"/>
      <c r="B15" s="81"/>
      <c r="C15" s="29" t="s">
        <v>334</v>
      </c>
      <c r="D15" s="29" t="s">
        <v>335</v>
      </c>
      <c r="E15" s="29" t="s">
        <v>336</v>
      </c>
      <c r="F15" s="29" t="s">
        <v>337</v>
      </c>
      <c r="G15" s="29" t="s">
        <v>333</v>
      </c>
      <c r="H15" s="29" t="s">
        <v>338</v>
      </c>
      <c r="I15" s="31">
        <v>5</v>
      </c>
      <c r="J15" s="80"/>
      <c r="K15" s="55">
        <v>3.5</v>
      </c>
    </row>
    <row r="16" spans="1:11" ht="57.6" x14ac:dyDescent="0.3">
      <c r="A16" s="110"/>
      <c r="B16" s="81"/>
      <c r="C16" s="59" t="s">
        <v>133</v>
      </c>
      <c r="D16" s="29" t="s">
        <v>134</v>
      </c>
      <c r="E16" s="29" t="s">
        <v>253</v>
      </c>
      <c r="F16" s="29" t="s">
        <v>254</v>
      </c>
      <c r="G16" s="29" t="s">
        <v>255</v>
      </c>
      <c r="H16" s="29" t="s">
        <v>256</v>
      </c>
      <c r="I16" s="31">
        <v>5</v>
      </c>
      <c r="J16" s="80"/>
      <c r="K16" s="55">
        <v>3</v>
      </c>
    </row>
    <row r="17" spans="1:11" ht="86.4" x14ac:dyDescent="0.3">
      <c r="A17" s="110"/>
      <c r="B17" s="81"/>
      <c r="C17" s="28" t="s">
        <v>293</v>
      </c>
      <c r="D17" s="29" t="s">
        <v>134</v>
      </c>
      <c r="E17" s="29" t="s">
        <v>135</v>
      </c>
      <c r="F17" s="29" t="s">
        <v>136</v>
      </c>
      <c r="G17" s="29" t="s">
        <v>137</v>
      </c>
      <c r="H17" s="29" t="s">
        <v>138</v>
      </c>
      <c r="I17" s="31">
        <v>5</v>
      </c>
      <c r="J17" s="80"/>
      <c r="K17" s="55">
        <v>2.5</v>
      </c>
    </row>
    <row r="18" spans="1:11" ht="105" customHeight="1" x14ac:dyDescent="0.3">
      <c r="A18" s="110">
        <v>4</v>
      </c>
      <c r="B18" s="81" t="s">
        <v>31</v>
      </c>
      <c r="C18" s="28" t="s">
        <v>140</v>
      </c>
      <c r="D18" s="29" t="s">
        <v>141</v>
      </c>
      <c r="E18" s="29" t="s">
        <v>294</v>
      </c>
      <c r="F18" s="29" t="s">
        <v>339</v>
      </c>
      <c r="G18" s="29" t="s">
        <v>340</v>
      </c>
      <c r="H18" s="29" t="s">
        <v>341</v>
      </c>
      <c r="I18" s="31">
        <v>5</v>
      </c>
      <c r="J18" s="80">
        <v>20</v>
      </c>
      <c r="K18" s="55">
        <v>3.5</v>
      </c>
    </row>
    <row r="19" spans="1:11" ht="91.5" customHeight="1" x14ac:dyDescent="0.3">
      <c r="A19" s="110"/>
      <c r="B19" s="81"/>
      <c r="C19" s="28" t="s">
        <v>146</v>
      </c>
      <c r="D19" s="29" t="s">
        <v>147</v>
      </c>
      <c r="E19" s="29" t="s">
        <v>148</v>
      </c>
      <c r="F19" s="29" t="s">
        <v>306</v>
      </c>
      <c r="G19" s="29" t="s">
        <v>307</v>
      </c>
      <c r="H19" s="29" t="s">
        <v>308</v>
      </c>
      <c r="I19" s="31">
        <v>5</v>
      </c>
      <c r="J19" s="80"/>
      <c r="K19" s="55">
        <v>3</v>
      </c>
    </row>
    <row r="20" spans="1:11" ht="88.5" customHeight="1" x14ac:dyDescent="0.3">
      <c r="A20" s="110"/>
      <c r="B20" s="81"/>
      <c r="C20" s="28" t="s">
        <v>152</v>
      </c>
      <c r="D20" s="29" t="s">
        <v>153</v>
      </c>
      <c r="E20" s="29" t="s">
        <v>154</v>
      </c>
      <c r="F20" s="29" t="s">
        <v>155</v>
      </c>
      <c r="G20" s="29" t="s">
        <v>156</v>
      </c>
      <c r="H20" s="29" t="s">
        <v>157</v>
      </c>
      <c r="I20" s="31">
        <v>5</v>
      </c>
      <c r="J20" s="80"/>
      <c r="K20" s="55">
        <v>3</v>
      </c>
    </row>
    <row r="21" spans="1:11" ht="72" x14ac:dyDescent="0.3">
      <c r="A21" s="110"/>
      <c r="B21" s="81"/>
      <c r="C21" s="28" t="s">
        <v>265</v>
      </c>
      <c r="D21" s="29" t="s">
        <v>159</v>
      </c>
      <c r="E21" s="29" t="s">
        <v>266</v>
      </c>
      <c r="F21" s="29" t="s">
        <v>267</v>
      </c>
      <c r="G21" s="29" t="s">
        <v>269</v>
      </c>
      <c r="H21" s="29" t="s">
        <v>270</v>
      </c>
      <c r="I21" s="31">
        <v>5</v>
      </c>
      <c r="J21" s="80"/>
      <c r="K21" s="55">
        <v>3</v>
      </c>
    </row>
    <row r="22" spans="1:11" ht="86.4" x14ac:dyDescent="0.3">
      <c r="A22" s="111">
        <v>5</v>
      </c>
      <c r="B22" s="81" t="s">
        <v>164</v>
      </c>
      <c r="C22" s="28" t="s">
        <v>165</v>
      </c>
      <c r="D22" s="29" t="s">
        <v>166</v>
      </c>
      <c r="E22" s="29" t="s">
        <v>167</v>
      </c>
      <c r="F22" s="29" t="s">
        <v>168</v>
      </c>
      <c r="G22" s="29" t="s">
        <v>268</v>
      </c>
      <c r="H22" s="29" t="s">
        <v>170</v>
      </c>
      <c r="I22" s="31">
        <v>5</v>
      </c>
      <c r="J22" s="80">
        <v>25</v>
      </c>
      <c r="K22" s="55">
        <v>3.5</v>
      </c>
    </row>
    <row r="23" spans="1:11" ht="117" customHeight="1" x14ac:dyDescent="0.3">
      <c r="A23" s="111"/>
      <c r="B23" s="81"/>
      <c r="C23" s="28" t="s">
        <v>171</v>
      </c>
      <c r="D23" s="29" t="s">
        <v>263</v>
      </c>
      <c r="E23" s="29" t="s">
        <v>264</v>
      </c>
      <c r="F23" s="29" t="s">
        <v>342</v>
      </c>
      <c r="G23" s="29" t="s">
        <v>343</v>
      </c>
      <c r="H23" s="29" t="s">
        <v>344</v>
      </c>
      <c r="I23" s="31">
        <v>5</v>
      </c>
      <c r="J23" s="80"/>
      <c r="K23" s="55" t="s">
        <v>362</v>
      </c>
    </row>
    <row r="24" spans="1:11" ht="120" customHeight="1" x14ac:dyDescent="0.3">
      <c r="A24" s="111"/>
      <c r="B24" s="81"/>
      <c r="C24" s="28" t="s">
        <v>177</v>
      </c>
      <c r="D24" s="29" t="s">
        <v>345</v>
      </c>
      <c r="E24" s="29" t="s">
        <v>346</v>
      </c>
      <c r="F24" s="29" t="s">
        <v>347</v>
      </c>
      <c r="G24" s="29" t="s">
        <v>348</v>
      </c>
      <c r="H24" s="29" t="s">
        <v>349</v>
      </c>
      <c r="I24" s="31">
        <v>5</v>
      </c>
      <c r="J24" s="80"/>
      <c r="K24" s="55" t="s">
        <v>362</v>
      </c>
    </row>
    <row r="25" spans="1:11" ht="86.4" x14ac:dyDescent="0.3">
      <c r="A25" s="111"/>
      <c r="B25" s="81"/>
      <c r="C25" s="61" t="s">
        <v>183</v>
      </c>
      <c r="D25" s="29" t="s">
        <v>184</v>
      </c>
      <c r="E25" s="29" t="s">
        <v>185</v>
      </c>
      <c r="F25" s="29" t="s">
        <v>186</v>
      </c>
      <c r="G25" s="29" t="s">
        <v>258</v>
      </c>
      <c r="H25" s="29" t="s">
        <v>259</v>
      </c>
      <c r="I25" s="31">
        <v>5</v>
      </c>
      <c r="J25" s="80"/>
      <c r="K25" s="55">
        <v>2.5</v>
      </c>
    </row>
    <row r="26" spans="1:11" ht="72" x14ac:dyDescent="0.3">
      <c r="A26" s="111"/>
      <c r="B26" s="81"/>
      <c r="C26" s="61" t="s">
        <v>262</v>
      </c>
      <c r="D26" s="29" t="s">
        <v>184</v>
      </c>
      <c r="E26" s="29" t="s">
        <v>190</v>
      </c>
      <c r="F26" s="29" t="s">
        <v>191</v>
      </c>
      <c r="G26" s="29" t="s">
        <v>192</v>
      </c>
      <c r="H26" s="29" t="s">
        <v>257</v>
      </c>
      <c r="I26" s="31">
        <v>5</v>
      </c>
      <c r="J26" s="80"/>
      <c r="K26" s="55">
        <v>4.5</v>
      </c>
    </row>
    <row r="27" spans="1:11" ht="86.4" x14ac:dyDescent="0.3">
      <c r="A27" s="57">
        <v>6</v>
      </c>
      <c r="B27" s="56" t="s">
        <v>246</v>
      </c>
      <c r="C27" s="28" t="s">
        <v>276</v>
      </c>
      <c r="D27" s="29" t="s">
        <v>275</v>
      </c>
      <c r="E27" s="29" t="s">
        <v>252</v>
      </c>
      <c r="F27" s="29" t="s">
        <v>351</v>
      </c>
      <c r="G27" s="40" t="s">
        <v>350</v>
      </c>
      <c r="H27" s="29" t="s">
        <v>274</v>
      </c>
      <c r="I27" s="31">
        <v>0</v>
      </c>
      <c r="J27" s="66">
        <v>0</v>
      </c>
      <c r="K27" s="55" t="s">
        <v>362</v>
      </c>
    </row>
    <row r="28" spans="1:11" ht="90.75" customHeight="1" x14ac:dyDescent="0.3">
      <c r="A28" s="110">
        <v>7</v>
      </c>
      <c r="B28" s="81" t="s">
        <v>52</v>
      </c>
      <c r="C28" s="28" t="s">
        <v>295</v>
      </c>
      <c r="D28" s="29" t="s">
        <v>318</v>
      </c>
      <c r="E28" s="29" t="s">
        <v>317</v>
      </c>
      <c r="F28" s="29" t="s">
        <v>316</v>
      </c>
      <c r="G28" s="29" t="s">
        <v>315</v>
      </c>
      <c r="H28" s="29" t="s">
        <v>314</v>
      </c>
      <c r="I28" s="31">
        <v>5</v>
      </c>
      <c r="J28" s="76">
        <v>20</v>
      </c>
      <c r="K28" s="55">
        <v>2.5</v>
      </c>
    </row>
    <row r="29" spans="1:11" ht="104.25" customHeight="1" x14ac:dyDescent="0.3">
      <c r="A29" s="110"/>
      <c r="B29" s="81"/>
      <c r="C29" s="28" t="s">
        <v>296</v>
      </c>
      <c r="D29" s="29" t="s">
        <v>313</v>
      </c>
      <c r="E29" s="29" t="s">
        <v>312</v>
      </c>
      <c r="F29" s="29" t="s">
        <v>311</v>
      </c>
      <c r="G29" s="29" t="s">
        <v>310</v>
      </c>
      <c r="H29" s="29" t="s">
        <v>309</v>
      </c>
      <c r="I29" s="31">
        <v>5</v>
      </c>
      <c r="J29" s="76"/>
      <c r="K29" s="55">
        <v>2</v>
      </c>
    </row>
    <row r="30" spans="1:11" ht="78" customHeight="1" x14ac:dyDescent="0.3">
      <c r="A30" s="110"/>
      <c r="B30" s="81"/>
      <c r="C30" s="28" t="s">
        <v>297</v>
      </c>
      <c r="D30" s="29" t="s">
        <v>354</v>
      </c>
      <c r="E30" s="29" t="s">
        <v>353</v>
      </c>
      <c r="F30" s="29" t="s">
        <v>352</v>
      </c>
      <c r="G30" s="29" t="s">
        <v>355</v>
      </c>
      <c r="H30" s="29" t="s">
        <v>356</v>
      </c>
      <c r="I30" s="31">
        <v>5</v>
      </c>
      <c r="J30" s="76"/>
      <c r="K30" s="55">
        <v>3</v>
      </c>
    </row>
    <row r="31" spans="1:11" ht="96.75" customHeight="1" x14ac:dyDescent="0.3">
      <c r="A31" s="110"/>
      <c r="B31" s="81"/>
      <c r="C31" s="28" t="s">
        <v>298</v>
      </c>
      <c r="D31" s="29" t="s">
        <v>221</v>
      </c>
      <c r="E31" s="29" t="s">
        <v>222</v>
      </c>
      <c r="F31" s="29" t="s">
        <v>223</v>
      </c>
      <c r="G31" s="29" t="s">
        <v>357</v>
      </c>
      <c r="H31" s="29" t="s">
        <v>358</v>
      </c>
      <c r="I31" s="31">
        <v>5</v>
      </c>
      <c r="J31" s="76"/>
      <c r="K31" s="55">
        <v>3</v>
      </c>
    </row>
    <row r="32" spans="1:11" ht="15" thickBot="1" x14ac:dyDescent="0.35">
      <c r="A32" s="67"/>
      <c r="B32" s="68"/>
      <c r="C32" s="69"/>
      <c r="D32" s="70"/>
      <c r="E32" s="70"/>
      <c r="F32" s="70"/>
      <c r="G32" s="70"/>
      <c r="H32" s="70"/>
      <c r="I32" s="71">
        <f>SUM(I6:I31)</f>
        <v>120</v>
      </c>
      <c r="J32" s="72">
        <f>SUM(J6:J31)</f>
        <v>120</v>
      </c>
      <c r="K32" s="73">
        <f>SUM(K6:K31)</f>
        <v>64.5</v>
      </c>
    </row>
    <row r="33" spans="1:11" ht="15" thickBot="1" x14ac:dyDescent="0.35">
      <c r="A33" s="92" t="s">
        <v>278</v>
      </c>
      <c r="B33" s="93"/>
      <c r="C33" s="93"/>
      <c r="D33" s="93"/>
      <c r="E33" s="93"/>
      <c r="F33" s="93"/>
      <c r="G33" s="93"/>
      <c r="H33" s="93"/>
      <c r="I33" s="93"/>
      <c r="J33" s="94"/>
      <c r="K33" s="74">
        <f>AVERAGE(K6:K31)</f>
        <v>3.0714285714285716</v>
      </c>
    </row>
    <row r="34" spans="1:11" ht="15" thickBot="1" x14ac:dyDescent="0.35">
      <c r="A34" s="62" t="s">
        <v>279</v>
      </c>
      <c r="B34" s="64" t="s">
        <v>280</v>
      </c>
      <c r="C34" s="95" t="s">
        <v>281</v>
      </c>
      <c r="D34" s="96"/>
      <c r="E34" s="96"/>
      <c r="F34" s="96"/>
      <c r="G34" s="97"/>
      <c r="H34" s="98" t="s">
        <v>284</v>
      </c>
      <c r="I34" s="99"/>
      <c r="J34" s="100"/>
    </row>
    <row r="35" spans="1:11" ht="64.5" customHeight="1" x14ac:dyDescent="0.3">
      <c r="A35" s="62">
        <v>1</v>
      </c>
      <c r="B35" s="63" t="s">
        <v>359</v>
      </c>
      <c r="C35" s="101" t="s">
        <v>363</v>
      </c>
      <c r="D35" s="102"/>
      <c r="E35" s="102"/>
      <c r="F35" s="102"/>
      <c r="G35" s="103"/>
      <c r="H35" s="101" t="s">
        <v>364</v>
      </c>
      <c r="I35" s="102"/>
      <c r="J35" s="103"/>
    </row>
    <row r="36" spans="1:11" ht="84" customHeight="1" x14ac:dyDescent="0.3">
      <c r="A36" s="62">
        <v>2</v>
      </c>
      <c r="B36" s="63" t="s">
        <v>282</v>
      </c>
      <c r="C36" s="104"/>
      <c r="D36" s="105"/>
      <c r="E36" s="105"/>
      <c r="F36" s="105"/>
      <c r="G36" s="106"/>
      <c r="H36" s="104"/>
      <c r="I36" s="105"/>
      <c r="J36" s="106"/>
    </row>
    <row r="37" spans="1:11" ht="66" customHeight="1" x14ac:dyDescent="0.3">
      <c r="A37" s="62">
        <v>3</v>
      </c>
      <c r="B37" s="63" t="s">
        <v>283</v>
      </c>
      <c r="C37" s="107"/>
      <c r="D37" s="108"/>
      <c r="E37" s="108"/>
      <c r="F37" s="108"/>
      <c r="G37" s="109"/>
      <c r="H37" s="107"/>
      <c r="I37" s="108"/>
      <c r="J37" s="109"/>
    </row>
    <row r="38" spans="1:11" ht="53.25" customHeight="1" x14ac:dyDescent="0.3"/>
  </sheetData>
  <mergeCells count="40">
    <mergeCell ref="K9:K10"/>
    <mergeCell ref="C2:D2"/>
    <mergeCell ref="C3:D3"/>
    <mergeCell ref="C1:J1"/>
    <mergeCell ref="H2:J2"/>
    <mergeCell ref="H3:J3"/>
    <mergeCell ref="G2:G3"/>
    <mergeCell ref="E2:F2"/>
    <mergeCell ref="E3:F3"/>
    <mergeCell ref="K6:K7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2026-07-29T05:46:25Z</dcterms:modified>
</cp:coreProperties>
</file>