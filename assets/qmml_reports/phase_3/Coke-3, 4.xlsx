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1" documentId="8_{32F90273-9AEF-48B3-BB21-AB2FB14CC158}" xr6:coauthVersionLast="47" xr6:coauthVersionMax="47" xr10:uidLastSave="{B7F5AC7C-591E-44A9-A426-4701EDB58EA0}"/>
  <bookViews>
    <workbookView xWindow="-108" yWindow="-108" windowWidth="23256" windowHeight="12456" activeTab="2" xr2:uid="{00000000-000D-0000-FFFF-FFFF00000000}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3" l="1"/>
  <c r="K33" i="3"/>
  <c r="J32" i="3"/>
  <c r="I32" i="3" l="1"/>
  <c r="I3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<sst xmlns="http://schemas.openxmlformats.org/spreadsheetml/2006/main" count="473" uniqueCount="374">
  <si>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</si>
  <si>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</si>
  <si>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</si>
  <si>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</si>
  <si>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</si>
  <si>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</si>
  <si>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</si>
  <si>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</si>
  <si>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</si>
  <si>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</si>
  <si>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</si>
  <si>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</si>
  <si>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</si>
  <si>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</si>
  <si>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</si>
  <si>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</si>
  <si>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</si>
  <si>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</si>
  <si>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</si>
  <si>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</si>
  <si>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</si>
  <si>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</si>
  <si>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</si>
  <si>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</si>
  <si>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</si>
  <si>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</si>
  <si>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</si>
  <si>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</si>
  <si>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</si>
  <si>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</si>
  <si>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</si>
  <si>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</si>
  <si>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</si>
  <si>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</si>
  <si>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</si>
  <si>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</si>
  <si>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</si>
  <si>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</si>
  <si>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</si>
  <si>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</si>
  <si>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</si>
  <si>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</si>
  <si>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</si>
  <si>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</si>
  <si>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</si>
  <si>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</si>
  <si>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</si>
  <si>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</si>
  <si>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</si>
  <si>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</si>
  <si>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</si>
  <si>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</si>
  <si>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</si>
  <si>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</si>
  <si>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</si>
  <si>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</si>
  <si>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</si>
  <si>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</si>
  <si>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</si>
  <si>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</si>
  <si>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</si>
  <si>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</si>
  <si>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</si>
  <si>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</si>
  <si>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</si>
  <si>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</si>
  <si>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</si>
  <si>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</si>
  <si>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</si>
  <si>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</si>
  <si>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</si>
  <si>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</si>
  <si>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</si>
  <si>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</si>
  <si>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</si>
  <si>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</si>
  <si>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</si>
  <si>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</si>
  <si>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</si>
  <si>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</si>
  <si>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</si>
  <si>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</si>
  <si>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</si>
  <si>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</si>
  <si>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</si>
  <si>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</si>
  <si>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</si>
  <si>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</si>
  <si>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</si>
  <si>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</si>
  <si>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</si>
  <si>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</si>
  <si>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</si>
  <si>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</si>
  <si>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</si>
  <si>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</si>
  <si>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</si>
  <si>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</si>
  <si>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</si>
  <si>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</si>
  <si>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</si>
  <si>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</si>
  <si>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</si>
  <si>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</si>
  <si>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</si>
  <si>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</si>
  <si>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</si>
  <si>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</si>
  <si>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</si>
  <si>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</si>
  <si>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</si>
  <si>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</si>
  <si>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</si>
  <si>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</si>
  <si>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</si>
  <si>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</si>
  <si>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</si>
  <si>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</si>
  <si>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</si>
  <si>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</si>
  <si>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</si>
  <si>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</si>
  <si>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</si>
  <si>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</si>
  <si>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</si>
  <si>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</si>
  <si>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</si>
  <si>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</si>
  <si>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</si>
  <si>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</si>
  <si>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</si>
  <si>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</si>
  <si>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</si>
  <si>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</si>
  <si>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</si>
  <si>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</si>
  <si>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</si>
  <si>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</si>
  <si>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</si>
  <si>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</si>
  <si>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</si>
  <si>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</si>
  <si>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</si>
  <si>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</si>
  <si>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</si>
  <si>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</si>
  <si>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</si>
  <si>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</si>
  <si>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</si>
  <si>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</si>
  <si>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</si>
  <si>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</si>
  <si>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</si>
  <si>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</si>
  <si>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</si>
  <si>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</si>
  <si>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</si>
  <si>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</si>
  <si>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</si>
  <si>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</si>
  <si>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</si>
  <si>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</si>
  <si>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</si>
  <si>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</si>
  <si>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</si>
  <si>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</si>
  <si>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</si>
  <si>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</si>
  <si>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</si>
  <si>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</si>
  <si>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</si>
  <si>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</si>
  <si>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</si>
  <si>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</si>
  <si>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</si>
  <si>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</si>
  <si>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</si>
  <si>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</si>
  <si>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</si>
  <si>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</si>
  <si>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</si>
  <si>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</si>
  <si>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</si>
  <si>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</si>
  <si>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</si>
  <si>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</si>
  <si>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</si>
  <si>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</si>
  <si>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</si>
  <si>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</si>
  <si>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</si>
  <si>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</si>
  <si>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</si>
  <si>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</si>
  <si>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</si>
  <si>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</si>
  <si>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</si>
  <si>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</si>
  <si>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</si>
  <si>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</si>
  <si>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</si>
  <si>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</si>
  <si>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</si>
  <si>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</si>
  <si>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</si>
  <si>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</si>
  <si>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</si>
  <si>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</si>
  <si>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</si>
  <si>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</si>
  <si>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</si>
  <si>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</si>
  <si>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</si>
  <si>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</si>
  <si>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</si>
  <si>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</si>
  <si>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</si>
  <si>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</si>
  <si>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</si>
  <si>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</si>
  <si>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</si>
  <si>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</si>
  <si>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</si>
  <si>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</si>
  <si>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</si>
  <si>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</si>
  <si>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</si>
  <si>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</si>
  <si>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</si>
  <si>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</si>
  <si>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</si>
  <si>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</si>
  <si>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</si>
  <si>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</si>
  <si>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</si>
  <si>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</si>
  <si>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</si>
  <si>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</si>
  <si>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</si>
  <si>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</si>
  <si>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</si>
  <si>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</si>
  <si>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</si>
  <si>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</si>
  <si>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</si>
  <si>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</si>
  <si>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</si>
  <si>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</si>
  <si>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</si>
  <si>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</si>
  <si>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</si>
  <si>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</si>
  <si>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</si>
  <si>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</si>
  <si>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</si>
  <si>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</si>
  <si>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</si>
  <si>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</si>
  <si>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</si>
  <si>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</si>
  <si>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</si>
  <si>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</si>
  <si>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</si>
  <si>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</si>
  <si>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</si>
  <si>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</si>
  <si>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</si>
  <si>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</si>
  <si>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</si>
  <si>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</si>
  <si>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</si>
  <si>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</si>
  <si>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</si>
  <si>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</si>
  <si>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</si>
  <si>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</si>
  <si>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</si>
  <si>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</si>
  <si>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</si>
  <si>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</si>
  <si>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</si>
  <si>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</si>
  <si>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</si>
  <si>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</si>
  <si>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</si>
  <si>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</si>
  <si>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</si>
  <si>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</si>
  <si>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</si>
  <si>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</si>
  <si>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</si>
  <si>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</si>
  <si>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</si>
  <si>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</si>
  <si>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</si>
  <si>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</si>
  <si>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</si>
  <si>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</si>
  <si>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</si>
  <si>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</si>
  <si>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</si>
  <si>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</si>
  <si>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</si>
  <si>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</si>
  <si>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</si>
  <si>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</si>
  <si>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</si>
  <si>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</si>
  <si>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</si>
  <si>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</si>
  <si>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</si>
  <si>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</si>
  <si>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</si>
  <si>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</si>
  <si>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</si>
  <si>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</si>
  <si>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</si>
  <si>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</si>
  <si>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</si>
  <si>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</si>
  <si>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</si>
  <si>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</si>
  <si>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</si>
  <si>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</si>
  <si>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</si>
  <si>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</si>
  <si>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</si>
  <si>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</si>
  <si>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</si>
  <si>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</si>
  <si>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</si>
  <si>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</si>
  <si>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</si>
  <si>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</si>
  <si>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</si>
  <si>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</si>
  <si>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</si>
  <si>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</si>
  <si>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</si>
  <si>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</si>
  <si>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</si>
  <si>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</si>
  <si>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</si>
  <si>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</si>
  <si>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</si>
  <si>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</si>
  <si>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</si>
  <si>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</si>
  <si>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</si>
  <si>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</si>
  <si>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</si>
  <si>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</si>
  <si>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Adoption of 0757 at the shopfloor (any 2- 2marks)</t>
  </si>
  <si>
    <t>KPI-Identified, Gap analysis done, teams formed for improvement. Revieved daily, weekly, monthly. Reviewed, analysed, multiple PDCA and SDCA in place</t>
  </si>
  <si>
    <t>L07 and Below 0.4 kaizens per person per year, , and aligned with M-KPI and C-KPI, Kaizen supports to improve KPI, 2 best kaizens</t>
  </si>
  <si>
    <t xml:space="preserve">L07 and Below 0.6 kaizens per person per year, and aligned with M-KPI and C-KPI, Kaizen supports to improve KPI, 4 best kaizens </t>
  </si>
  <si>
    <t xml:space="preserve">L07 and Below 0.8 kaizens per person per year, and aligned with M-KPI and C-KPI, Kaizen supports to improve KPI, 6 best kaizens </t>
  </si>
  <si>
    <t xml:space="preserve">L07 and Below 1 kaizens per person per year, and aligned with M-KPI and C-KPI, Kaizen supports to improve KPI, 8 best kaizens </t>
  </si>
  <si>
    <t>L07 and Below 2 kaizens per person per year, and aligned with M-KPI and C-KPI, Kaizen supports to improve KPI, 10 best kaizens</t>
  </si>
  <si>
    <t xml:space="preserve">CA, AAF, RCFA, available with planned and TQM Criteria used, and aligned with M-KPI and C-KPI, CA supports to improve overall KPI </t>
  </si>
  <si>
    <t>1.4 lakhs in OSM and BP; not maintained for associates; 99.98% compliance</t>
  </si>
  <si>
    <t>benchmarkimg of coke CSR done with china and indonesia imported coke</t>
  </si>
  <si>
    <t>system change on tar sludge , just commisioned, not monitored &amp; analysed</t>
  </si>
  <si>
    <t>L7&amp; below employees-126; kaizens-173; 5 best kaizens</t>
  </si>
  <si>
    <t>employees-239; projects-16</t>
  </si>
  <si>
    <t>NA</t>
  </si>
  <si>
    <t>CO3 to bf3 and CO4 to BF4</t>
  </si>
  <si>
    <t>last 6 months review supposed be on april is pending</t>
  </si>
  <si>
    <t xml:space="preserve">more than 2 hrs breakdown in june </t>
  </si>
  <si>
    <t>competency of trainer not measured and effectiveness of training to be measured</t>
  </si>
  <si>
    <t>DM meetings conducted daily; coal contamination monitored by CFT formed between CO, RMHS &amp; TCG</t>
  </si>
  <si>
    <t xml:space="preserve">DM KPIs daily reviewed &amp; PM KPIs weekly </t>
  </si>
  <si>
    <t>no NC and 6 OFIs closed within 3 days</t>
  </si>
  <si>
    <t>Department: Coke oven 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</si>
</sst>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4" fillId="0" borderId="43" xfId="0" applyFont="1" applyBorder="1" applyAlignment="1">
      <alignment horizontal="left" wrapText="1"/>
    </xf>
    <xf numFmtId="0" fontId="4" fillId="0" borderId="4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5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4" fillId="6" borderId="43" xfId="0" applyFont="1" applyFill="1" applyBorder="1" applyAlignment="1">
      <alignment horizontal="left" vertical="center" wrapText="1"/>
    </xf>
    <xf numFmtId="0" fontId="4" fillId="7" borderId="43" xfId="0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8" borderId="0" xfId="0" applyNumberFormat="1" applyFont="1" applyFill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68" xfId="0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44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4.4" x14ac:dyDescent="0.3"/>
  <cols>
    <col min="1" max="1" width="4.88671875" customWidth="1"/>
    <col min="2" max="2" width="17.5546875" customWidth="1"/>
    <col min="3" max="3" width="25.88671875" customWidth="1"/>
    <col min="4" max="4" width="17.6640625" customWidth="1"/>
    <col min="5" max="5" width="25.33203125" customWidth="1"/>
    <col min="6" max="6" width="22.5546875" customWidth="1"/>
    <col min="7" max="7" width="24" customWidth="1"/>
    <col min="8" max="8" width="27.109375" customWidth="1"/>
    <col min="9" max="9" width="8.109375" customWidth="1"/>
    <col min="10" max="13" width="6.44140625" customWidth="1"/>
  </cols>
  <sheetData>
    <row r="1" spans="1:13" ht="39" customHeight="1" thickBot="1" x14ac:dyDescent="0.35">
      <c r="A1" s="163"/>
      <c r="B1" s="164"/>
      <c r="C1" s="165" t="s">
        <v>245</v>
      </c>
      <c r="D1" s="166"/>
      <c r="E1" s="166"/>
      <c r="F1" s="166"/>
      <c r="G1" s="166"/>
      <c r="H1" s="166"/>
      <c r="I1" s="166"/>
      <c r="J1" s="166"/>
      <c r="K1" s="166"/>
      <c r="L1" s="166"/>
      <c r="M1" s="167"/>
    </row>
    <row r="2" spans="1:13" ht="29.25" customHeight="1" thickBot="1" x14ac:dyDescent="0.35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68" t="s">
        <v>9</v>
      </c>
      <c r="K2" s="169"/>
      <c r="L2" s="169"/>
      <c r="M2" s="170"/>
    </row>
    <row r="3" spans="1:13" ht="37.5" customHeight="1" x14ac:dyDescent="0.3">
      <c r="A3" s="171">
        <v>1</v>
      </c>
      <c r="B3" s="174" t="s">
        <v>10</v>
      </c>
      <c r="C3" s="177" t="s">
        <v>11</v>
      </c>
      <c r="D3" s="180" t="s">
        <v>12</v>
      </c>
      <c r="E3" s="180" t="s">
        <v>13</v>
      </c>
      <c r="F3" s="180" t="s">
        <v>14</v>
      </c>
      <c r="G3" s="180" t="s">
        <v>15</v>
      </c>
      <c r="H3" s="183" t="s">
        <v>16</v>
      </c>
      <c r="I3" s="148"/>
      <c r="J3" s="150"/>
      <c r="K3" s="110"/>
      <c r="L3" s="110"/>
      <c r="M3" s="151"/>
    </row>
    <row r="4" spans="1:13" x14ac:dyDescent="0.3">
      <c r="A4" s="172"/>
      <c r="B4" s="175"/>
      <c r="C4" s="178"/>
      <c r="D4" s="181"/>
      <c r="E4" s="181"/>
      <c r="F4" s="181"/>
      <c r="G4" s="181"/>
      <c r="H4" s="184"/>
      <c r="I4" s="148"/>
      <c r="J4" s="152"/>
      <c r="K4" s="98"/>
      <c r="L4" s="98"/>
      <c r="M4" s="153"/>
    </row>
    <row r="5" spans="1:13" ht="15" thickBot="1" x14ac:dyDescent="0.35">
      <c r="A5" s="173"/>
      <c r="B5" s="176"/>
      <c r="C5" s="179"/>
      <c r="D5" s="182"/>
      <c r="E5" s="182"/>
      <c r="F5" s="182"/>
      <c r="G5" s="182"/>
      <c r="H5" s="185"/>
      <c r="I5" s="149"/>
      <c r="J5" s="186"/>
      <c r="K5" s="99"/>
      <c r="L5" s="99"/>
      <c r="M5" s="187"/>
    </row>
    <row r="6" spans="1:13" x14ac:dyDescent="0.3">
      <c r="A6" s="154">
        <v>2</v>
      </c>
      <c r="B6" s="157" t="s">
        <v>17</v>
      </c>
      <c r="C6" s="160" t="s">
        <v>18</v>
      </c>
      <c r="D6" s="138" t="s">
        <v>19</v>
      </c>
      <c r="E6" s="138" t="s">
        <v>20</v>
      </c>
      <c r="F6" s="138" t="s">
        <v>21</v>
      </c>
      <c r="G6" s="141" t="s">
        <v>22</v>
      </c>
      <c r="H6" s="144" t="s">
        <v>23</v>
      </c>
      <c r="I6" s="147"/>
      <c r="J6" s="150"/>
      <c r="K6" s="110"/>
      <c r="L6" s="110"/>
      <c r="M6" s="151"/>
    </row>
    <row r="7" spans="1:13" ht="25.5" customHeight="1" x14ac:dyDescent="0.3">
      <c r="A7" s="155"/>
      <c r="B7" s="158"/>
      <c r="C7" s="161"/>
      <c r="D7" s="139"/>
      <c r="E7" s="139"/>
      <c r="F7" s="139"/>
      <c r="G7" s="142"/>
      <c r="H7" s="145"/>
      <c r="I7" s="148"/>
      <c r="J7" s="152"/>
      <c r="K7" s="98"/>
      <c r="L7" s="98"/>
      <c r="M7" s="153"/>
    </row>
    <row r="8" spans="1:13" ht="25.5" customHeight="1" x14ac:dyDescent="0.3">
      <c r="A8" s="155"/>
      <c r="B8" s="158"/>
      <c r="C8" s="161"/>
      <c r="D8" s="139"/>
      <c r="E8" s="139"/>
      <c r="F8" s="139"/>
      <c r="G8" s="142"/>
      <c r="H8" s="145"/>
      <c r="I8" s="148"/>
      <c r="J8" s="152"/>
      <c r="K8" s="98"/>
      <c r="L8" s="98"/>
      <c r="M8" s="153"/>
    </row>
    <row r="9" spans="1:13" ht="23.25" customHeight="1" thickBot="1" x14ac:dyDescent="0.35">
      <c r="A9" s="156"/>
      <c r="B9" s="159"/>
      <c r="C9" s="162"/>
      <c r="D9" s="140"/>
      <c r="E9" s="140"/>
      <c r="F9" s="140"/>
      <c r="G9" s="143"/>
      <c r="H9" s="146"/>
      <c r="I9" s="149"/>
      <c r="J9" s="152"/>
      <c r="K9" s="98"/>
      <c r="L9" s="98"/>
      <c r="M9" s="153"/>
    </row>
    <row r="10" spans="1:13" ht="63" customHeight="1" thickBot="1" x14ac:dyDescent="0.35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103"/>
      <c r="K10" s="104"/>
      <c r="L10" s="104"/>
      <c r="M10" s="105"/>
    </row>
    <row r="11" spans="1:13" ht="84.75" customHeight="1" thickBot="1" x14ac:dyDescent="0.35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50"/>
      <c r="K11" s="110"/>
      <c r="L11" s="110"/>
      <c r="M11" s="151"/>
    </row>
    <row r="12" spans="1:13" ht="78" customHeight="1" thickBot="1" x14ac:dyDescent="0.35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103"/>
      <c r="K12" s="104"/>
      <c r="L12" s="104"/>
      <c r="M12" s="105"/>
    </row>
    <row r="13" spans="1:13" ht="79.8" thickBot="1" x14ac:dyDescent="0.35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103"/>
      <c r="K13" s="104"/>
      <c r="L13" s="104"/>
      <c r="M13" s="105"/>
    </row>
    <row r="14" spans="1:13" ht="66.599999999999994" thickBot="1" x14ac:dyDescent="0.35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103"/>
      <c r="K14" s="104"/>
      <c r="L14" s="104"/>
      <c r="M14" s="105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4.4" x14ac:dyDescent="0.3"/>
  <cols>
    <col min="1" max="1" width="5.6640625" style="52" bestFit="1" customWidth="1"/>
    <col min="2" max="2" width="18.109375" style="53" customWidth="1"/>
    <col min="3" max="3" width="23.88671875" customWidth="1"/>
    <col min="4" max="8" width="27.88671875" style="54" customWidth="1"/>
    <col min="9" max="9" width="11.5546875" style="55" customWidth="1"/>
  </cols>
  <sheetData>
    <row r="1" spans="1:9" ht="18" x14ac:dyDescent="0.3">
      <c r="A1" s="90" t="s">
        <v>59</v>
      </c>
      <c r="B1" s="92" t="s">
        <v>60</v>
      </c>
      <c r="C1" s="94" t="s">
        <v>2</v>
      </c>
      <c r="D1" s="204" t="s">
        <v>61</v>
      </c>
      <c r="E1" s="204"/>
      <c r="F1" s="204"/>
      <c r="G1" s="204"/>
      <c r="H1" s="204"/>
      <c r="I1" s="204"/>
    </row>
    <row r="2" spans="1:9" s="27" customFormat="1" ht="18" x14ac:dyDescent="0.35">
      <c r="A2" s="91"/>
      <c r="B2" s="93"/>
      <c r="C2" s="95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3">
      <c r="A3" s="205">
        <v>1</v>
      </c>
      <c r="B3" s="208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96">
        <v>5</v>
      </c>
    </row>
    <row r="4" spans="1:9" ht="36" customHeight="1" x14ac:dyDescent="0.3">
      <c r="A4" s="206"/>
      <c r="B4" s="198"/>
      <c r="C4" s="28" t="s">
        <v>74</v>
      </c>
      <c r="D4" s="29" t="s">
        <v>75</v>
      </c>
      <c r="E4" s="29" t="s">
        <v>76</v>
      </c>
      <c r="F4" s="29" t="s">
        <v>77</v>
      </c>
      <c r="G4" s="29" t="s">
        <v>78</v>
      </c>
      <c r="H4" s="30" t="s">
        <v>79</v>
      </c>
      <c r="I4" s="96"/>
    </row>
    <row r="5" spans="1:9" ht="71.25" customHeight="1" x14ac:dyDescent="0.3">
      <c r="A5" s="206"/>
      <c r="B5" s="198"/>
      <c r="C5" s="28" t="s">
        <v>80</v>
      </c>
      <c r="D5" s="29" t="s">
        <v>81</v>
      </c>
      <c r="E5" s="29" t="s">
        <v>226</v>
      </c>
      <c r="F5" s="29" t="s">
        <v>227</v>
      </c>
      <c r="G5" s="29" t="s">
        <v>82</v>
      </c>
      <c r="H5" s="30" t="s">
        <v>83</v>
      </c>
      <c r="I5" s="42">
        <v>5</v>
      </c>
    </row>
    <row r="6" spans="1:9" ht="71.25" customHeight="1" thickBot="1" x14ac:dyDescent="0.35">
      <c r="A6" s="207"/>
      <c r="B6" s="199"/>
      <c r="C6" s="28" t="s">
        <v>84</v>
      </c>
      <c r="D6" s="29" t="s">
        <v>81</v>
      </c>
      <c r="E6" s="29" t="s">
        <v>228</v>
      </c>
      <c r="F6" s="29" t="s">
        <v>229</v>
      </c>
      <c r="G6" s="29" t="s">
        <v>82</v>
      </c>
      <c r="H6" s="30" t="s">
        <v>83</v>
      </c>
      <c r="I6" s="43">
        <v>5</v>
      </c>
    </row>
    <row r="7" spans="1:9" ht="28.8" x14ac:dyDescent="0.3">
      <c r="A7" s="194">
        <v>2</v>
      </c>
      <c r="B7" s="197" t="s">
        <v>17</v>
      </c>
      <c r="C7" s="32" t="s">
        <v>85</v>
      </c>
      <c r="D7" s="33" t="s">
        <v>86</v>
      </c>
      <c r="E7" s="33" t="s">
        <v>87</v>
      </c>
      <c r="F7" s="33" t="s">
        <v>88</v>
      </c>
      <c r="G7" s="33" t="s">
        <v>89</v>
      </c>
      <c r="H7" s="34" t="s">
        <v>90</v>
      </c>
      <c r="I7" s="96">
        <v>5</v>
      </c>
    </row>
    <row r="8" spans="1:9" ht="57.6" x14ac:dyDescent="0.3">
      <c r="A8" s="195">
        <v>2</v>
      </c>
      <c r="B8" s="198"/>
      <c r="C8" s="35" t="s">
        <v>91</v>
      </c>
      <c r="D8" s="29" t="s">
        <v>92</v>
      </c>
      <c r="E8" s="29" t="s">
        <v>93</v>
      </c>
      <c r="F8" s="29" t="s">
        <v>94</v>
      </c>
      <c r="G8" s="29" t="s">
        <v>95</v>
      </c>
      <c r="H8" s="30" t="s">
        <v>96</v>
      </c>
      <c r="I8" s="96"/>
    </row>
    <row r="9" spans="1:9" ht="28.8" x14ac:dyDescent="0.3">
      <c r="A9" s="195"/>
      <c r="B9" s="198"/>
      <c r="C9" s="35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1">
        <v>5</v>
      </c>
    </row>
    <row r="10" spans="1:9" ht="43.2" x14ac:dyDescent="0.3">
      <c r="A10" s="195"/>
      <c r="B10" s="198"/>
      <c r="C10" s="58" t="s">
        <v>103</v>
      </c>
      <c r="D10" s="29" t="s">
        <v>104</v>
      </c>
      <c r="E10" s="29" t="s">
        <v>105</v>
      </c>
      <c r="F10" s="29" t="s">
        <v>106</v>
      </c>
      <c r="G10" s="29" t="s">
        <v>107</v>
      </c>
      <c r="H10" s="30" t="s">
        <v>108</v>
      </c>
      <c r="I10" s="31">
        <v>5</v>
      </c>
    </row>
    <row r="11" spans="1:9" ht="29.4" thickBot="1" x14ac:dyDescent="0.35">
      <c r="A11" s="196"/>
      <c r="B11" s="199"/>
      <c r="C11" s="36" t="s">
        <v>109</v>
      </c>
      <c r="D11" s="37" t="s">
        <v>110</v>
      </c>
      <c r="E11" s="37" t="s">
        <v>111</v>
      </c>
      <c r="F11" s="37" t="s">
        <v>112</v>
      </c>
      <c r="G11" s="37" t="s">
        <v>113</v>
      </c>
      <c r="H11" s="38" t="s">
        <v>114</v>
      </c>
      <c r="I11" s="31">
        <v>5</v>
      </c>
    </row>
    <row r="12" spans="1:9" ht="83.25" customHeight="1" x14ac:dyDescent="0.3">
      <c r="A12" s="200">
        <v>3</v>
      </c>
      <c r="B12" s="197" t="s">
        <v>24</v>
      </c>
      <c r="C12" s="39" t="s">
        <v>115</v>
      </c>
      <c r="D12" s="40" t="s">
        <v>116</v>
      </c>
      <c r="E12" s="40" t="s">
        <v>117</v>
      </c>
      <c r="F12" s="40" t="s">
        <v>118</v>
      </c>
      <c r="G12" s="40" t="s">
        <v>119</v>
      </c>
      <c r="H12" s="41" t="s">
        <v>120</v>
      </c>
      <c r="I12" s="188">
        <v>5</v>
      </c>
    </row>
    <row r="13" spans="1:9" ht="43.2" x14ac:dyDescent="0.3">
      <c r="A13" s="201"/>
      <c r="B13" s="198"/>
      <c r="C13" s="35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90"/>
    </row>
    <row r="14" spans="1:9" ht="63" customHeight="1" x14ac:dyDescent="0.3">
      <c r="A14" s="201"/>
      <c r="B14" s="198"/>
      <c r="C14" s="35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2">
        <v>5</v>
      </c>
    </row>
    <row r="15" spans="1:9" ht="86.4" x14ac:dyDescent="0.3">
      <c r="A15" s="201"/>
      <c r="B15" s="198"/>
      <c r="C15" s="35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3">
        <v>5</v>
      </c>
    </row>
    <row r="16" spans="1:9" ht="86.4" x14ac:dyDescent="0.3">
      <c r="A16" s="202"/>
      <c r="B16" s="203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1">
        <v>5</v>
      </c>
    </row>
    <row r="17" spans="1:9" ht="72" customHeight="1" x14ac:dyDescent="0.3">
      <c r="A17" s="126">
        <v>4</v>
      </c>
      <c r="B17" s="89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4" t="s">
        <v>145</v>
      </c>
      <c r="I17" s="31">
        <v>5</v>
      </c>
    </row>
    <row r="18" spans="1:9" ht="43.2" x14ac:dyDescent="0.3">
      <c r="A18" s="126"/>
      <c r="B18" s="89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1">
        <v>5</v>
      </c>
    </row>
    <row r="19" spans="1:9" ht="57.6" x14ac:dyDescent="0.3">
      <c r="A19" s="126"/>
      <c r="B19" s="89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1">
        <v>5</v>
      </c>
    </row>
    <row r="20" spans="1:9" ht="79.2" x14ac:dyDescent="0.3">
      <c r="A20" s="126"/>
      <c r="B20" s="89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1">
        <v>5</v>
      </c>
    </row>
    <row r="21" spans="1:9" ht="86.4" x14ac:dyDescent="0.3">
      <c r="A21" s="193">
        <v>5</v>
      </c>
      <c r="B21" s="89" t="s">
        <v>164</v>
      </c>
      <c r="C21" s="28" t="s">
        <v>165</v>
      </c>
      <c r="D21" s="29" t="s">
        <v>166</v>
      </c>
      <c r="E21" s="29" t="s">
        <v>167</v>
      </c>
      <c r="F21" s="29" t="s">
        <v>168</v>
      </c>
      <c r="G21" s="29" t="s">
        <v>169</v>
      </c>
      <c r="H21" s="30" t="s">
        <v>170</v>
      </c>
      <c r="I21" s="31">
        <v>5</v>
      </c>
    </row>
    <row r="22" spans="1:9" ht="86.4" x14ac:dyDescent="0.3">
      <c r="A22" s="193"/>
      <c r="B22" s="89"/>
      <c r="C22" s="28" t="s">
        <v>171</v>
      </c>
      <c r="D22" s="29" t="s">
        <v>172</v>
      </c>
      <c r="E22" s="29" t="s">
        <v>173</v>
      </c>
      <c r="F22" s="29" t="s">
        <v>174</v>
      </c>
      <c r="G22" s="29" t="s">
        <v>175</v>
      </c>
      <c r="H22" s="30" t="s">
        <v>176</v>
      </c>
      <c r="I22" s="31">
        <v>5</v>
      </c>
    </row>
    <row r="23" spans="1:9" ht="56.25" customHeight="1" x14ac:dyDescent="0.3">
      <c r="A23" s="193"/>
      <c r="B23" s="89"/>
      <c r="C23" s="28" t="s">
        <v>177</v>
      </c>
      <c r="D23" s="29" t="s">
        <v>178</v>
      </c>
      <c r="E23" s="29" t="s">
        <v>179</v>
      </c>
      <c r="F23" s="29" t="s">
        <v>180</v>
      </c>
      <c r="G23" s="29" t="s">
        <v>181</v>
      </c>
      <c r="H23" s="30" t="s">
        <v>182</v>
      </c>
      <c r="I23" s="31">
        <v>5</v>
      </c>
    </row>
    <row r="24" spans="1:9" ht="86.4" x14ac:dyDescent="0.3">
      <c r="A24" s="193"/>
      <c r="B24" s="89"/>
      <c r="C24" s="45" t="s">
        <v>183</v>
      </c>
      <c r="D24" s="46" t="s">
        <v>184</v>
      </c>
      <c r="E24" s="46" t="s">
        <v>185</v>
      </c>
      <c r="F24" s="46" t="s">
        <v>186</v>
      </c>
      <c r="G24" s="47" t="s">
        <v>187</v>
      </c>
      <c r="H24" s="48" t="s">
        <v>188</v>
      </c>
      <c r="I24" s="31">
        <v>5</v>
      </c>
    </row>
    <row r="25" spans="1:9" ht="86.4" x14ac:dyDescent="0.3">
      <c r="A25" s="193"/>
      <c r="B25" s="89"/>
      <c r="C25" s="49" t="s">
        <v>189</v>
      </c>
      <c r="D25" s="29" t="s">
        <v>184</v>
      </c>
      <c r="E25" s="29" t="s">
        <v>190</v>
      </c>
      <c r="F25" s="29" t="s">
        <v>191</v>
      </c>
      <c r="G25" s="29" t="s">
        <v>192</v>
      </c>
      <c r="H25" s="30" t="s">
        <v>188</v>
      </c>
      <c r="I25" s="31">
        <v>5</v>
      </c>
    </row>
    <row r="26" spans="1:9" ht="66.75" customHeight="1" x14ac:dyDescent="0.3">
      <c r="A26" s="126">
        <v>6</v>
      </c>
      <c r="B26" s="89" t="s">
        <v>246</v>
      </c>
      <c r="C26" s="50" t="s">
        <v>193</v>
      </c>
      <c r="D26" s="46" t="s">
        <v>194</v>
      </c>
      <c r="E26" s="40" t="s">
        <v>195</v>
      </c>
      <c r="F26" s="40" t="s">
        <v>196</v>
      </c>
      <c r="G26" s="40" t="s">
        <v>197</v>
      </c>
      <c r="H26" s="41" t="s">
        <v>198</v>
      </c>
      <c r="I26" s="188">
        <v>5</v>
      </c>
    </row>
    <row r="27" spans="1:9" ht="57.6" x14ac:dyDescent="0.3">
      <c r="A27" s="126"/>
      <c r="B27" s="89"/>
      <c r="C27" s="28" t="s">
        <v>199</v>
      </c>
      <c r="D27" s="29" t="s">
        <v>200</v>
      </c>
      <c r="E27" s="40" t="s">
        <v>201</v>
      </c>
      <c r="F27" s="40" t="s">
        <v>202</v>
      </c>
      <c r="G27" s="40" t="s">
        <v>203</v>
      </c>
      <c r="H27" s="41" t="s">
        <v>204</v>
      </c>
      <c r="I27" s="189"/>
    </row>
    <row r="28" spans="1:9" ht="43.2" x14ac:dyDescent="0.3">
      <c r="A28" s="126"/>
      <c r="B28" s="89"/>
      <c r="C28" s="28" t="s">
        <v>205</v>
      </c>
      <c r="D28" s="29" t="s">
        <v>206</v>
      </c>
      <c r="E28" s="29" t="s">
        <v>207</v>
      </c>
      <c r="F28" s="29" t="s">
        <v>208</v>
      </c>
      <c r="G28" s="29" t="s">
        <v>209</v>
      </c>
      <c r="H28" s="30" t="s">
        <v>210</v>
      </c>
      <c r="I28" s="189"/>
    </row>
    <row r="29" spans="1:9" ht="43.2" x14ac:dyDescent="0.3">
      <c r="A29" s="126"/>
      <c r="B29" s="89"/>
      <c r="C29" s="28" t="s">
        <v>211</v>
      </c>
      <c r="D29" s="29" t="s">
        <v>212</v>
      </c>
      <c r="E29" s="29" t="s">
        <v>213</v>
      </c>
      <c r="F29" s="29" t="s">
        <v>214</v>
      </c>
      <c r="G29" s="29" t="s">
        <v>215</v>
      </c>
      <c r="H29" s="30" t="s">
        <v>216</v>
      </c>
      <c r="I29" s="190"/>
    </row>
    <row r="30" spans="1:9" ht="72.75" customHeight="1" x14ac:dyDescent="0.3">
      <c r="A30" s="57"/>
      <c r="B30" s="56"/>
      <c r="C30" s="28"/>
      <c r="D30" s="29" t="s">
        <v>247</v>
      </c>
      <c r="E30" s="29" t="s">
        <v>248</v>
      </c>
      <c r="F30" s="29" t="s">
        <v>249</v>
      </c>
      <c r="G30" s="29" t="s">
        <v>250</v>
      </c>
      <c r="H30" s="29" t="s">
        <v>251</v>
      </c>
      <c r="I30" s="43"/>
    </row>
    <row r="31" spans="1:9" ht="90.75" customHeight="1" x14ac:dyDescent="0.3">
      <c r="A31" s="126">
        <v>7</v>
      </c>
      <c r="B31" s="89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1">
        <v>5</v>
      </c>
    </row>
    <row r="32" spans="1:9" ht="104.25" customHeight="1" x14ac:dyDescent="0.3">
      <c r="A32" s="126"/>
      <c r="B32" s="89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1">
        <v>5</v>
      </c>
    </row>
    <row r="33" spans="1:9" ht="57.6" x14ac:dyDescent="0.3">
      <c r="A33" s="126"/>
      <c r="B33" s="89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1">
        <v>5</v>
      </c>
    </row>
    <row r="34" spans="1:9" ht="96.75" customHeight="1" thickBot="1" x14ac:dyDescent="0.35">
      <c r="A34" s="191"/>
      <c r="B34" s="192"/>
      <c r="C34" s="51" t="s">
        <v>220</v>
      </c>
      <c r="D34" s="37" t="s">
        <v>221</v>
      </c>
      <c r="E34" s="37" t="s">
        <v>222</v>
      </c>
      <c r="F34" s="37" t="s">
        <v>223</v>
      </c>
      <c r="G34" s="37" t="s">
        <v>224</v>
      </c>
      <c r="H34" s="38" t="s">
        <v>225</v>
      </c>
      <c r="I34" s="31">
        <v>5</v>
      </c>
    </row>
    <row r="35" spans="1:9" x14ac:dyDescent="0.3">
      <c r="I35" s="31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"/>
  <sheetViews>
    <sheetView tabSelected="1" zoomScale="80" zoomScaleNormal="80" zoomScaleSheetLayoutView="80" workbookViewId="0">
      <pane xSplit="2" ySplit="5" topLeftCell="C27" activePane="bottomRight" state="frozen"/>
      <selection pane="topRight" activeCell="C1" sqref="C1"/>
      <selection pane="bottomLeft" activeCell="A4" sqref="A4"/>
      <selection pane="bottomRight" activeCell="N27" sqref="N27"/>
    </sheetView>
  </sheetViews>
  <sheetFormatPr defaultRowHeight="14.4" x14ac:dyDescent="0.3"/>
  <cols>
    <col min="1" max="1" width="5.6640625" style="52" bestFit="1" customWidth="1"/>
    <col min="2" max="2" width="18.109375" style="53" customWidth="1"/>
    <col min="3" max="3" width="23.88671875" customWidth="1"/>
    <col min="4" max="8" width="27.88671875" style="54" customWidth="1"/>
    <col min="9" max="9" width="11.5546875" style="55" customWidth="1"/>
    <col min="10" max="10" width="9.109375" style="55"/>
    <col min="11" max="11" width="9.5546875" style="55" bestFit="1" customWidth="1"/>
    <col min="12" max="12" width="13.44140625" customWidth="1"/>
  </cols>
  <sheetData>
    <row r="1" spans="1:12" ht="31.5" customHeight="1" thickBot="1" x14ac:dyDescent="0.35">
      <c r="A1" s="98"/>
      <c r="B1" s="98"/>
      <c r="C1" s="130" t="s">
        <v>299</v>
      </c>
      <c r="D1" s="131"/>
      <c r="E1" s="131"/>
      <c r="F1" s="131"/>
      <c r="G1" s="131"/>
      <c r="H1" s="131"/>
      <c r="I1" s="131"/>
      <c r="J1" s="132"/>
      <c r="K1" s="76"/>
    </row>
    <row r="2" spans="1:12" ht="15" thickBot="1" x14ac:dyDescent="0.35">
      <c r="A2" s="98"/>
      <c r="B2" s="98"/>
      <c r="C2" s="127" t="s">
        <v>373</v>
      </c>
      <c r="D2" s="128"/>
      <c r="E2" s="127" t="s">
        <v>300</v>
      </c>
      <c r="F2" s="128"/>
      <c r="G2" s="136" t="s">
        <v>301</v>
      </c>
      <c r="H2" s="127" t="s">
        <v>302</v>
      </c>
      <c r="I2" s="129"/>
      <c r="J2" s="128"/>
      <c r="K2" s="77"/>
    </row>
    <row r="3" spans="1:12" ht="15.75" customHeight="1" thickBot="1" x14ac:dyDescent="0.35">
      <c r="A3" s="99"/>
      <c r="B3" s="99"/>
      <c r="C3" s="129" t="s">
        <v>303</v>
      </c>
      <c r="D3" s="129"/>
      <c r="E3" s="127" t="s">
        <v>304</v>
      </c>
      <c r="F3" s="128"/>
      <c r="G3" s="137"/>
      <c r="H3" s="133" t="s">
        <v>305</v>
      </c>
      <c r="I3" s="134"/>
      <c r="J3" s="135"/>
      <c r="K3" s="78"/>
    </row>
    <row r="4" spans="1:12" ht="18" x14ac:dyDescent="0.3">
      <c r="A4" s="90" t="s">
        <v>59</v>
      </c>
      <c r="B4" s="92" t="s">
        <v>60</v>
      </c>
      <c r="C4" s="94" t="s">
        <v>2</v>
      </c>
      <c r="D4" s="85" t="s">
        <v>61</v>
      </c>
      <c r="E4" s="85"/>
      <c r="F4" s="85"/>
      <c r="G4" s="85"/>
      <c r="H4" s="85"/>
      <c r="I4" s="85"/>
      <c r="J4" s="86"/>
      <c r="K4" s="80"/>
    </row>
    <row r="5" spans="1:12" s="27" customFormat="1" ht="18" x14ac:dyDescent="0.35">
      <c r="A5" s="91"/>
      <c r="B5" s="93"/>
      <c r="C5" s="95"/>
      <c r="D5" s="60" t="s">
        <v>62</v>
      </c>
      <c r="E5" s="60" t="s">
        <v>63</v>
      </c>
      <c r="F5" s="60" t="s">
        <v>64</v>
      </c>
      <c r="G5" s="60" t="s">
        <v>65</v>
      </c>
      <c r="H5" s="60" t="s">
        <v>66</v>
      </c>
      <c r="I5" s="26" t="s">
        <v>67</v>
      </c>
      <c r="J5" s="65" t="s">
        <v>67</v>
      </c>
      <c r="K5" s="80"/>
    </row>
    <row r="6" spans="1:12" ht="96.75" customHeight="1" x14ac:dyDescent="0.3">
      <c r="A6" s="97">
        <v>1</v>
      </c>
      <c r="B6" s="87" t="s">
        <v>10</v>
      </c>
      <c r="C6" s="28" t="s">
        <v>68</v>
      </c>
      <c r="D6" s="29" t="s">
        <v>285</v>
      </c>
      <c r="E6" s="29" t="s">
        <v>286</v>
      </c>
      <c r="F6" s="29" t="s">
        <v>315</v>
      </c>
      <c r="G6" s="29" t="s">
        <v>316</v>
      </c>
      <c r="H6" s="29" t="s">
        <v>314</v>
      </c>
      <c r="I6" s="96">
        <v>10</v>
      </c>
      <c r="J6" s="88">
        <v>15</v>
      </c>
      <c r="K6" s="83">
        <v>6</v>
      </c>
      <c r="L6" s="46" t="s">
        <v>366</v>
      </c>
    </row>
    <row r="7" spans="1:12" ht="94.5" customHeight="1" x14ac:dyDescent="0.3">
      <c r="A7" s="97"/>
      <c r="B7" s="87"/>
      <c r="C7" s="74" t="s">
        <v>74</v>
      </c>
      <c r="D7" s="29" t="s">
        <v>287</v>
      </c>
      <c r="E7" s="29" t="s">
        <v>270</v>
      </c>
      <c r="F7" s="29" t="s">
        <v>271</v>
      </c>
      <c r="G7" s="29" t="s">
        <v>272</v>
      </c>
      <c r="H7" s="29" t="s">
        <v>79</v>
      </c>
      <c r="I7" s="96"/>
      <c r="J7" s="88"/>
      <c r="K7" s="83"/>
    </row>
    <row r="8" spans="1:12" ht="94.5" customHeight="1" x14ac:dyDescent="0.3">
      <c r="A8" s="97"/>
      <c r="B8" s="87"/>
      <c r="C8" s="28" t="s">
        <v>276</v>
      </c>
      <c r="D8" s="29" t="s">
        <v>247</v>
      </c>
      <c r="E8" s="29" t="s">
        <v>248</v>
      </c>
      <c r="F8" s="29" t="s">
        <v>249</v>
      </c>
      <c r="G8" s="29" t="s">
        <v>250</v>
      </c>
      <c r="H8" s="29" t="s">
        <v>251</v>
      </c>
      <c r="I8" s="31">
        <v>5</v>
      </c>
      <c r="J8" s="88"/>
      <c r="K8" s="55">
        <v>1</v>
      </c>
    </row>
    <row r="9" spans="1:12" ht="60" customHeight="1" x14ac:dyDescent="0.3">
      <c r="A9" s="97">
        <v>2</v>
      </c>
      <c r="B9" s="89" t="s">
        <v>17</v>
      </c>
      <c r="C9" s="28" t="s">
        <v>317</v>
      </c>
      <c r="D9" s="29" t="s">
        <v>318</v>
      </c>
      <c r="E9" s="29" t="s">
        <v>319</v>
      </c>
      <c r="F9" s="29" t="s">
        <v>320</v>
      </c>
      <c r="G9" s="29" t="s">
        <v>321</v>
      </c>
      <c r="H9" s="29" t="s">
        <v>322</v>
      </c>
      <c r="I9" s="96">
        <v>5</v>
      </c>
      <c r="J9" s="88">
        <v>20</v>
      </c>
      <c r="K9" s="83">
        <v>3</v>
      </c>
    </row>
    <row r="10" spans="1:12" ht="86.4" x14ac:dyDescent="0.3">
      <c r="A10" s="97">
        <v>2</v>
      </c>
      <c r="B10" s="89"/>
      <c r="C10" s="29" t="s">
        <v>288</v>
      </c>
      <c r="D10" s="29" t="s">
        <v>323</v>
      </c>
      <c r="E10" s="29" t="s">
        <v>324</v>
      </c>
      <c r="F10" s="29" t="s">
        <v>325</v>
      </c>
      <c r="G10" s="29" t="s">
        <v>326</v>
      </c>
      <c r="H10" s="29" t="s">
        <v>326</v>
      </c>
      <c r="I10" s="96"/>
      <c r="J10" s="88"/>
      <c r="K10" s="83"/>
      <c r="L10" s="46" t="s">
        <v>360</v>
      </c>
    </row>
    <row r="11" spans="1:12" ht="48" customHeight="1" x14ac:dyDescent="0.3">
      <c r="A11" s="97"/>
      <c r="B11" s="89"/>
      <c r="C11" s="59" t="s">
        <v>327</v>
      </c>
      <c r="D11" s="29" t="s">
        <v>98</v>
      </c>
      <c r="E11" s="29" t="s">
        <v>99</v>
      </c>
      <c r="F11" s="29" t="s">
        <v>100</v>
      </c>
      <c r="G11" s="29" t="s">
        <v>101</v>
      </c>
      <c r="H11" s="29" t="s">
        <v>289</v>
      </c>
      <c r="I11" s="31">
        <v>5</v>
      </c>
      <c r="J11" s="88"/>
      <c r="K11" s="55">
        <v>5</v>
      </c>
    </row>
    <row r="12" spans="1:12" ht="83.25" customHeight="1" x14ac:dyDescent="0.3">
      <c r="A12" s="97"/>
      <c r="B12" s="89"/>
      <c r="C12" s="29" t="s">
        <v>260</v>
      </c>
      <c r="D12" s="29" t="s">
        <v>290</v>
      </c>
      <c r="E12" s="29" t="s">
        <v>105</v>
      </c>
      <c r="F12" s="29" t="s">
        <v>106</v>
      </c>
      <c r="G12" s="29" t="s">
        <v>107</v>
      </c>
      <c r="H12" s="29" t="s">
        <v>291</v>
      </c>
      <c r="I12" s="31">
        <v>5</v>
      </c>
      <c r="J12" s="88"/>
      <c r="K12" s="55">
        <v>5</v>
      </c>
    </row>
    <row r="13" spans="1:12" ht="28.8" x14ac:dyDescent="0.3">
      <c r="A13" s="97"/>
      <c r="B13" s="89"/>
      <c r="C13" s="59" t="s">
        <v>261</v>
      </c>
      <c r="D13" s="29" t="s">
        <v>110</v>
      </c>
      <c r="E13" s="29" t="s">
        <v>111</v>
      </c>
      <c r="F13" s="29" t="s">
        <v>112</v>
      </c>
      <c r="G13" s="29" t="s">
        <v>113</v>
      </c>
      <c r="H13" s="29" t="s">
        <v>114</v>
      </c>
      <c r="I13" s="31">
        <v>5</v>
      </c>
      <c r="J13" s="88"/>
      <c r="K13" s="55">
        <v>5</v>
      </c>
      <c r="L13" t="s">
        <v>361</v>
      </c>
    </row>
    <row r="14" spans="1:12" ht="83.25" customHeight="1" x14ac:dyDescent="0.3">
      <c r="A14" s="126">
        <v>3</v>
      </c>
      <c r="B14" s="89" t="s">
        <v>24</v>
      </c>
      <c r="C14" s="59" t="s">
        <v>115</v>
      </c>
      <c r="D14" s="29" t="s">
        <v>116</v>
      </c>
      <c r="E14" s="29" t="s">
        <v>292</v>
      </c>
      <c r="F14" s="29" t="s">
        <v>118</v>
      </c>
      <c r="G14" s="29" t="s">
        <v>119</v>
      </c>
      <c r="H14" s="29" t="s">
        <v>120</v>
      </c>
      <c r="I14" s="31">
        <v>5</v>
      </c>
      <c r="J14" s="88">
        <v>15</v>
      </c>
      <c r="K14" s="55">
        <v>4</v>
      </c>
      <c r="L14" t="s">
        <v>367</v>
      </c>
    </row>
    <row r="15" spans="1:12" ht="62.25" customHeight="1" x14ac:dyDescent="0.3">
      <c r="A15" s="126"/>
      <c r="B15" s="89"/>
      <c r="C15" s="29" t="s">
        <v>352</v>
      </c>
      <c r="D15" s="29" t="s">
        <v>329</v>
      </c>
      <c r="E15" s="29" t="s">
        <v>330</v>
      </c>
      <c r="F15" s="29" t="s">
        <v>331</v>
      </c>
      <c r="G15" s="29" t="s">
        <v>328</v>
      </c>
      <c r="H15" s="29" t="s">
        <v>332</v>
      </c>
      <c r="I15" s="31"/>
      <c r="J15" s="88"/>
      <c r="K15" s="55">
        <v>4</v>
      </c>
      <c r="L15" t="s">
        <v>368</v>
      </c>
    </row>
    <row r="16" spans="1:12" ht="57.6" x14ac:dyDescent="0.3">
      <c r="A16" s="126"/>
      <c r="B16" s="89"/>
      <c r="C16" s="59" t="s">
        <v>133</v>
      </c>
      <c r="D16" s="29" t="s">
        <v>134</v>
      </c>
      <c r="E16" s="29" t="s">
        <v>253</v>
      </c>
      <c r="F16" s="29" t="s">
        <v>254</v>
      </c>
      <c r="G16" s="29" t="s">
        <v>255</v>
      </c>
      <c r="H16" s="29" t="s">
        <v>256</v>
      </c>
      <c r="I16" s="31">
        <v>5</v>
      </c>
      <c r="J16" s="88"/>
      <c r="K16" s="55">
        <v>2</v>
      </c>
    </row>
    <row r="17" spans="1:12" ht="86.4" x14ac:dyDescent="0.3">
      <c r="A17" s="126"/>
      <c r="B17" s="89"/>
      <c r="C17" s="28" t="s">
        <v>293</v>
      </c>
      <c r="D17" s="29" t="s">
        <v>134</v>
      </c>
      <c r="E17" s="29" t="s">
        <v>135</v>
      </c>
      <c r="F17" s="29" t="s">
        <v>136</v>
      </c>
      <c r="G17" s="29" t="s">
        <v>137</v>
      </c>
      <c r="H17" s="29" t="s">
        <v>138</v>
      </c>
      <c r="I17" s="31">
        <v>5</v>
      </c>
      <c r="J17" s="88"/>
      <c r="K17" s="55">
        <v>2</v>
      </c>
      <c r="L17" s="46" t="s">
        <v>369</v>
      </c>
    </row>
    <row r="18" spans="1:12" ht="105" customHeight="1" x14ac:dyDescent="0.3">
      <c r="A18" s="126">
        <v>4</v>
      </c>
      <c r="B18" s="89" t="s">
        <v>31</v>
      </c>
      <c r="C18" s="28" t="s">
        <v>140</v>
      </c>
      <c r="D18" s="29" t="s">
        <v>141</v>
      </c>
      <c r="E18" s="29" t="s">
        <v>294</v>
      </c>
      <c r="F18" s="29" t="s">
        <v>333</v>
      </c>
      <c r="G18" s="29" t="s">
        <v>334</v>
      </c>
      <c r="H18" s="29" t="s">
        <v>335</v>
      </c>
      <c r="I18" s="31">
        <v>5</v>
      </c>
      <c r="J18" s="88">
        <v>20</v>
      </c>
      <c r="K18" s="55">
        <v>4</v>
      </c>
    </row>
    <row r="19" spans="1:12" ht="91.5" customHeight="1" x14ac:dyDescent="0.3">
      <c r="A19" s="126"/>
      <c r="B19" s="89"/>
      <c r="C19" s="28" t="s">
        <v>146</v>
      </c>
      <c r="D19" s="29" t="s">
        <v>147</v>
      </c>
      <c r="E19" s="29" t="s">
        <v>148</v>
      </c>
      <c r="F19" s="29" t="s">
        <v>306</v>
      </c>
      <c r="G19" s="29" t="s">
        <v>307</v>
      </c>
      <c r="H19" s="29" t="s">
        <v>308</v>
      </c>
      <c r="I19" s="31">
        <v>5</v>
      </c>
      <c r="J19" s="88"/>
      <c r="K19" s="55">
        <v>4</v>
      </c>
      <c r="L19" s="46" t="s">
        <v>370</v>
      </c>
    </row>
    <row r="20" spans="1:12" ht="88.5" customHeight="1" x14ac:dyDescent="0.3">
      <c r="A20" s="126"/>
      <c r="B20" s="89"/>
      <c r="C20" s="28" t="s">
        <v>152</v>
      </c>
      <c r="D20" s="29" t="s">
        <v>153</v>
      </c>
      <c r="E20" s="29" t="s">
        <v>154</v>
      </c>
      <c r="F20" s="29" t="s">
        <v>155</v>
      </c>
      <c r="G20" s="29" t="s">
        <v>156</v>
      </c>
      <c r="H20" s="29" t="s">
        <v>157</v>
      </c>
      <c r="I20" s="31">
        <v>5</v>
      </c>
      <c r="J20" s="88"/>
      <c r="K20" s="55">
        <v>1</v>
      </c>
      <c r="L20" s="46" t="s">
        <v>362</v>
      </c>
    </row>
    <row r="21" spans="1:12" ht="86.4" x14ac:dyDescent="0.3">
      <c r="A21" s="126"/>
      <c r="B21" s="89"/>
      <c r="C21" s="28" t="s">
        <v>265</v>
      </c>
      <c r="D21" s="29" t="s">
        <v>159</v>
      </c>
      <c r="E21" s="29" t="s">
        <v>266</v>
      </c>
      <c r="F21" s="29" t="s">
        <v>267</v>
      </c>
      <c r="G21" s="29" t="s">
        <v>269</v>
      </c>
      <c r="H21" s="29" t="s">
        <v>353</v>
      </c>
      <c r="I21" s="31">
        <v>5</v>
      </c>
      <c r="J21" s="88"/>
      <c r="K21" s="55">
        <v>4</v>
      </c>
      <c r="L21" s="46" t="s">
        <v>371</v>
      </c>
    </row>
    <row r="22" spans="1:12" ht="86.4" x14ac:dyDescent="0.3">
      <c r="A22" s="126">
        <v>5</v>
      </c>
      <c r="B22" s="89" t="s">
        <v>164</v>
      </c>
      <c r="C22" s="28" t="s">
        <v>165</v>
      </c>
      <c r="D22" s="29" t="s">
        <v>166</v>
      </c>
      <c r="E22" s="29" t="s">
        <v>167</v>
      </c>
      <c r="F22" s="29" t="s">
        <v>168</v>
      </c>
      <c r="G22" s="29" t="s">
        <v>268</v>
      </c>
      <c r="H22" s="29" t="s">
        <v>170</v>
      </c>
      <c r="I22" s="31">
        <v>5</v>
      </c>
      <c r="J22" s="88">
        <v>25</v>
      </c>
      <c r="K22" s="55">
        <v>5</v>
      </c>
    </row>
    <row r="23" spans="1:12" ht="117" customHeight="1" x14ac:dyDescent="0.3">
      <c r="A23" s="126"/>
      <c r="B23" s="89"/>
      <c r="C23" s="28" t="s">
        <v>171</v>
      </c>
      <c r="D23" s="29" t="s">
        <v>263</v>
      </c>
      <c r="E23" s="29" t="s">
        <v>264</v>
      </c>
      <c r="F23" s="29" t="s">
        <v>336</v>
      </c>
      <c r="G23" s="29" t="s">
        <v>337</v>
      </c>
      <c r="H23" s="29" t="s">
        <v>338</v>
      </c>
      <c r="I23" s="31">
        <v>5</v>
      </c>
      <c r="J23" s="88"/>
      <c r="K23" s="55" t="s">
        <v>365</v>
      </c>
      <c r="L23" t="s">
        <v>372</v>
      </c>
    </row>
    <row r="24" spans="1:12" ht="120" customHeight="1" x14ac:dyDescent="0.3">
      <c r="A24" s="126"/>
      <c r="B24" s="89"/>
      <c r="C24" s="73" t="s">
        <v>177</v>
      </c>
      <c r="D24" s="29" t="s">
        <v>339</v>
      </c>
      <c r="E24" s="29" t="s">
        <v>340</v>
      </c>
      <c r="F24" s="29" t="s">
        <v>341</v>
      </c>
      <c r="G24" s="29" t="s">
        <v>342</v>
      </c>
      <c r="H24" s="29" t="s">
        <v>343</v>
      </c>
      <c r="I24" s="31">
        <v>5</v>
      </c>
      <c r="J24" s="88"/>
      <c r="K24" s="55" t="s">
        <v>365</v>
      </c>
    </row>
    <row r="25" spans="1:12" ht="86.4" x14ac:dyDescent="0.3">
      <c r="A25" s="126"/>
      <c r="B25" s="89"/>
      <c r="C25" s="61" t="s">
        <v>183</v>
      </c>
      <c r="D25" s="29" t="s">
        <v>184</v>
      </c>
      <c r="E25" s="29" t="s">
        <v>185</v>
      </c>
      <c r="F25" s="29" t="s">
        <v>186</v>
      </c>
      <c r="G25" s="29" t="s">
        <v>258</v>
      </c>
      <c r="H25" s="29" t="s">
        <v>259</v>
      </c>
      <c r="I25" s="31">
        <v>5</v>
      </c>
      <c r="J25" s="88"/>
      <c r="K25" s="55">
        <v>4</v>
      </c>
    </row>
    <row r="26" spans="1:12" ht="72" x14ac:dyDescent="0.3">
      <c r="A26" s="126"/>
      <c r="B26" s="89"/>
      <c r="C26" s="61" t="s">
        <v>262</v>
      </c>
      <c r="D26" s="29" t="s">
        <v>184</v>
      </c>
      <c r="E26" s="29" t="s">
        <v>190</v>
      </c>
      <c r="F26" s="29" t="s">
        <v>191</v>
      </c>
      <c r="G26" s="29" t="s">
        <v>192</v>
      </c>
      <c r="H26" s="29" t="s">
        <v>257</v>
      </c>
      <c r="I26" s="31">
        <v>5</v>
      </c>
      <c r="J26" s="88"/>
      <c r="K26" s="55">
        <v>5</v>
      </c>
    </row>
    <row r="27" spans="1:12" ht="86.4" x14ac:dyDescent="0.3">
      <c r="A27" s="57">
        <v>6</v>
      </c>
      <c r="B27" s="56" t="s">
        <v>246</v>
      </c>
      <c r="C27" s="74" t="s">
        <v>275</v>
      </c>
      <c r="D27" s="29" t="s">
        <v>274</v>
      </c>
      <c r="E27" s="29" t="s">
        <v>252</v>
      </c>
      <c r="F27" s="29" t="s">
        <v>345</v>
      </c>
      <c r="G27" s="40" t="s">
        <v>344</v>
      </c>
      <c r="H27" s="29" t="s">
        <v>273</v>
      </c>
      <c r="I27" s="31">
        <v>5</v>
      </c>
      <c r="J27" s="66">
        <v>5</v>
      </c>
      <c r="K27" s="55" t="s">
        <v>365</v>
      </c>
    </row>
    <row r="28" spans="1:12" ht="90.75" customHeight="1" x14ac:dyDescent="0.3">
      <c r="A28" s="126">
        <v>7</v>
      </c>
      <c r="B28" s="89" t="s">
        <v>52</v>
      </c>
      <c r="C28" s="28" t="s">
        <v>295</v>
      </c>
      <c r="D28" s="29" t="s">
        <v>354</v>
      </c>
      <c r="E28" s="29" t="s">
        <v>355</v>
      </c>
      <c r="F28" s="29" t="s">
        <v>356</v>
      </c>
      <c r="G28" s="29" t="s">
        <v>357</v>
      </c>
      <c r="H28" s="29" t="s">
        <v>358</v>
      </c>
      <c r="I28" s="31">
        <v>5</v>
      </c>
      <c r="J28" s="84">
        <v>20</v>
      </c>
      <c r="K28" s="79">
        <v>3</v>
      </c>
      <c r="L28" s="46" t="s">
        <v>363</v>
      </c>
    </row>
    <row r="29" spans="1:12" ht="104.25" customHeight="1" x14ac:dyDescent="0.3">
      <c r="A29" s="126"/>
      <c r="B29" s="89"/>
      <c r="C29" s="28" t="s">
        <v>296</v>
      </c>
      <c r="D29" s="29" t="s">
        <v>313</v>
      </c>
      <c r="E29" s="29" t="s">
        <v>312</v>
      </c>
      <c r="F29" s="29" t="s">
        <v>311</v>
      </c>
      <c r="G29" s="29" t="s">
        <v>310</v>
      </c>
      <c r="H29" s="29" t="s">
        <v>309</v>
      </c>
      <c r="I29" s="31">
        <v>5</v>
      </c>
      <c r="J29" s="84"/>
      <c r="K29" s="79">
        <v>1</v>
      </c>
      <c r="L29" s="46" t="s">
        <v>364</v>
      </c>
    </row>
    <row r="30" spans="1:12" ht="78" customHeight="1" x14ac:dyDescent="0.3">
      <c r="A30" s="126"/>
      <c r="B30" s="89"/>
      <c r="C30" s="28" t="s">
        <v>297</v>
      </c>
      <c r="D30" s="29" t="s">
        <v>348</v>
      </c>
      <c r="E30" s="29" t="s">
        <v>347</v>
      </c>
      <c r="F30" s="29" t="s">
        <v>346</v>
      </c>
      <c r="G30" s="29" t="s">
        <v>349</v>
      </c>
      <c r="H30" s="29" t="s">
        <v>359</v>
      </c>
      <c r="I30" s="31">
        <v>5</v>
      </c>
      <c r="J30" s="84"/>
      <c r="K30" s="79">
        <v>4</v>
      </c>
    </row>
    <row r="31" spans="1:12" ht="96.75" customHeight="1" x14ac:dyDescent="0.3">
      <c r="A31" s="126"/>
      <c r="B31" s="89"/>
      <c r="C31" s="28" t="s">
        <v>298</v>
      </c>
      <c r="D31" s="29" t="s">
        <v>221</v>
      </c>
      <c r="E31" s="29" t="s">
        <v>222</v>
      </c>
      <c r="F31" s="29" t="s">
        <v>223</v>
      </c>
      <c r="G31" s="29" t="s">
        <v>350</v>
      </c>
      <c r="H31" s="29" t="s">
        <v>351</v>
      </c>
      <c r="I31" s="31">
        <v>5</v>
      </c>
      <c r="J31" s="84"/>
      <c r="K31" s="79">
        <v>4</v>
      </c>
    </row>
    <row r="32" spans="1:12" ht="15" thickBot="1" x14ac:dyDescent="0.35">
      <c r="A32" s="67"/>
      <c r="B32" s="68"/>
      <c r="C32" s="69"/>
      <c r="D32" s="70"/>
      <c r="E32" s="70"/>
      <c r="F32" s="70"/>
      <c r="G32" s="70"/>
      <c r="H32" s="70"/>
      <c r="I32" s="71">
        <f>SUM(I6:I31)</f>
        <v>120</v>
      </c>
      <c r="J32" s="72">
        <f>SUM(J6:J31)</f>
        <v>120</v>
      </c>
      <c r="K32" s="81">
        <f>SUM(K6:K31)</f>
        <v>76</v>
      </c>
    </row>
    <row r="33" spans="1:11" ht="15" thickBot="1" x14ac:dyDescent="0.35">
      <c r="A33" s="100" t="s">
        <v>277</v>
      </c>
      <c r="B33" s="101"/>
      <c r="C33" s="101"/>
      <c r="D33" s="101"/>
      <c r="E33" s="101"/>
      <c r="F33" s="101"/>
      <c r="G33" s="101"/>
      <c r="H33" s="101"/>
      <c r="I33" s="101"/>
      <c r="J33" s="102"/>
      <c r="K33" s="82">
        <f>AVERAGE(K6:K31)</f>
        <v>3.6190476190476191</v>
      </c>
    </row>
    <row r="34" spans="1:11" ht="15" thickBot="1" x14ac:dyDescent="0.35">
      <c r="A34" s="62" t="s">
        <v>278</v>
      </c>
      <c r="B34" s="64" t="s">
        <v>279</v>
      </c>
      <c r="C34" s="103" t="s">
        <v>280</v>
      </c>
      <c r="D34" s="104"/>
      <c r="E34" s="104"/>
      <c r="F34" s="104"/>
      <c r="G34" s="105"/>
      <c r="H34" s="106" t="s">
        <v>284</v>
      </c>
      <c r="I34" s="107"/>
      <c r="J34" s="108"/>
      <c r="K34" s="75"/>
    </row>
    <row r="35" spans="1:11" ht="64.5" customHeight="1" x14ac:dyDescent="0.3">
      <c r="A35" s="62">
        <v>1</v>
      </c>
      <c r="B35" s="63" t="s">
        <v>281</v>
      </c>
      <c r="C35" s="109"/>
      <c r="D35" s="110"/>
      <c r="E35" s="110"/>
      <c r="F35" s="110"/>
      <c r="G35" s="111"/>
      <c r="H35" s="117"/>
      <c r="I35" s="118"/>
      <c r="J35" s="119"/>
      <c r="K35" s="75"/>
    </row>
    <row r="36" spans="1:11" ht="84" customHeight="1" x14ac:dyDescent="0.3">
      <c r="A36" s="62">
        <v>2</v>
      </c>
      <c r="B36" s="63" t="s">
        <v>282</v>
      </c>
      <c r="C36" s="112"/>
      <c r="D36" s="98"/>
      <c r="E36" s="98"/>
      <c r="F36" s="98"/>
      <c r="G36" s="113"/>
      <c r="H36" s="120"/>
      <c r="I36" s="121"/>
      <c r="J36" s="122"/>
      <c r="K36" s="75"/>
    </row>
    <row r="37" spans="1:11" ht="66" customHeight="1" x14ac:dyDescent="0.3">
      <c r="A37" s="62">
        <v>3</v>
      </c>
      <c r="B37" s="63" t="s">
        <v>283</v>
      </c>
      <c r="C37" s="114"/>
      <c r="D37" s="115"/>
      <c r="E37" s="115"/>
      <c r="F37" s="115"/>
      <c r="G37" s="116"/>
      <c r="H37" s="123"/>
      <c r="I37" s="124"/>
      <c r="J37" s="125"/>
      <c r="K37" s="75"/>
    </row>
    <row r="38" spans="1:11" ht="53.25" customHeight="1" x14ac:dyDescent="0.3"/>
  </sheetData>
  <mergeCells count="40">
    <mergeCell ref="C2:D2"/>
    <mergeCell ref="C3:D3"/>
    <mergeCell ref="C1:J1"/>
    <mergeCell ref="H2:J2"/>
    <mergeCell ref="H3:J3"/>
    <mergeCell ref="G2:G3"/>
    <mergeCell ref="E2:F2"/>
    <mergeCell ref="E3:F3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A4:A5"/>
    <mergeCell ref="B4:B5"/>
    <mergeCell ref="C4:C5"/>
    <mergeCell ref="I6:I7"/>
    <mergeCell ref="A6:A8"/>
    <mergeCell ref="K6:K7"/>
    <mergeCell ref="K9:K10"/>
    <mergeCell ref="J28:J31"/>
    <mergeCell ref="D4:J4"/>
    <mergeCell ref="B6:B8"/>
    <mergeCell ref="J6:J8"/>
    <mergeCell ref="J9:J13"/>
    <mergeCell ref="J14:J17"/>
    <mergeCell ref="J18:J21"/>
    <mergeCell ref="J22:J26"/>
    <mergeCell ref="B14:B1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2026-07-29T07:16:43Z</dcterms:modified>
</cp:coreProperties>
</file>